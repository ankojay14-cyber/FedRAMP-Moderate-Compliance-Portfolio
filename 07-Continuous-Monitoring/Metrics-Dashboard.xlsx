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onthly-Metrics" sheetId="2" state="visible" r:id="rId4"/>
  </sheets>
  <definedNames>
    <definedName function="false" hidden="true" localSheetId="1" name="_xlnm._FilterDatabase" vbProcedure="false">'Monthly-Metrics'!$A$1:$H$7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<sst xmlns="http://schemas.openxmlformats.org/spreadsheetml/2006/main" count="28" uniqueCount="25">
  <si>
    <t xml:space="preserve">KTECH HEALTHCLOUD — CONTINUOUS MONITORING METRICS DASHBOARD</t>
  </si>
  <si>
    <t xml:space="preserve">Reporting Month:</t>
  </si>
  <si>
    <t xml:space="preserve">KPI</t>
  </si>
  <si>
    <t xml:space="preserve">Value</t>
  </si>
  <si>
    <t xml:space="preserve">Open POA&amp;M Items</t>
  </si>
  <si>
    <t xml:space="preserve">High-Risk Items</t>
  </si>
  <si>
    <t xml:space="preserve">Past-Due Items</t>
  </si>
  <si>
    <t xml:space="preserve">Findings Closed This Month</t>
  </si>
  <si>
    <t xml:space="preserve">Control Evidence Complete</t>
  </si>
  <si>
    <t xml:space="preserve">Critical Assets Scanned</t>
  </si>
  <si>
    <t xml:space="preserve">High Vulnerabilities &gt; SLA</t>
  </si>
  <si>
    <t xml:space="preserve">3-Month Trend: Open POA&amp;M Items (Δ vs. 3 months ago)</t>
  </si>
  <si>
    <t xml:space="preserve">All values are formulas pulling the most recent row of the Monthly-Metrics tab -- update Monthly-Metrics each ConMon cycle and this dashboard recalculates automatically.</t>
  </si>
  <si>
    <t xml:space="preserve">Month</t>
  </si>
  <si>
    <t xml:space="preserve">High-Risk Open Items</t>
  </si>
  <si>
    <t xml:space="preserve">Control Evidence Complete %</t>
  </si>
  <si>
    <t xml:space="preserve">Critical Assets Scanned %</t>
  </si>
  <si>
    <t xml:space="preserve">High Vulns Past SLA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</si>
  <si>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</si>
  <si>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</si>
  <si>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</si>
  <si>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</si>
  <si>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</si>
  <si>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</si>
  <si>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Blue cells are monthly-submitted actuals (the ConMon package delivered to the AO each month) -- the source data the Dashboard tab calculates from. Add a new row each month to roll the dashboard forward.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</si>
</sst>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%"/>
    <numFmt numFmtId="167" formatCode="\+0;\-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3" t="str">
        <f aca="false">'Monthly-Metrics'!A7</f>
        <v>2026-09</v>
      </c>
    </row>
    <row r="4" customFormat="false" ht="31.5" hidden="false" customHeight="true" outlineLevel="0" collapsed="false">
      <c r="A4" s="4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n">
        <f aca="false">'Monthly-Metrics'!B7</f>
        <v>18</v>
      </c>
    </row>
    <row r="6" customFormat="false" ht="15" hidden="false" customHeight="false" outlineLevel="0" collapsed="false">
      <c r="A6" s="5" t="s">
        <v>5</v>
      </c>
      <c r="B6" s="6" t="n">
        <f aca="false">'Monthly-Metrics'!C7</f>
        <v>3</v>
      </c>
    </row>
    <row r="7" customFormat="false" ht="15" hidden="false" customHeight="false" outlineLevel="0" collapsed="false">
      <c r="A7" s="5" t="s">
        <v>6</v>
      </c>
      <c r="B7" s="6" t="n">
        <f aca="false">'Monthly-Metrics'!D7</f>
        <v>2</v>
      </c>
    </row>
    <row r="8" customFormat="false" ht="15" hidden="false" customHeight="false" outlineLevel="0" collapsed="false">
      <c r="A8" s="5" t="s">
        <v>7</v>
      </c>
      <c r="B8" s="6" t="n">
        <f aca="false">'Monthly-Metrics'!E7</f>
        <v>7</v>
      </c>
    </row>
    <row r="9" customFormat="false" ht="15" hidden="false" customHeight="false" outlineLevel="0" collapsed="false">
      <c r="A9" s="5" t="s">
        <v>8</v>
      </c>
      <c r="B9" s="7" t="n">
        <f aca="false">'Monthly-Metrics'!F7</f>
        <v>0.94</v>
      </c>
    </row>
    <row r="10" customFormat="false" ht="15" hidden="false" customHeight="false" outlineLevel="0" collapsed="false">
      <c r="A10" s="5" t="s">
        <v>9</v>
      </c>
      <c r="B10" s="7" t="n">
        <f aca="false">'Monthly-Metrics'!G7</f>
        <v>1</v>
      </c>
    </row>
    <row r="11" customFormat="false" ht="15" hidden="false" customHeight="false" outlineLevel="0" collapsed="false">
      <c r="A11" s="5" t="s">
        <v>10</v>
      </c>
      <c r="B11" s="6" t="n">
        <f aca="false">'Monthly-Metrics'!H7</f>
        <v>1</v>
      </c>
    </row>
    <row r="12" customFormat="false" ht="15" hidden="false" customHeight="false" outlineLevel="0" collapsed="false">
      <c r="A12" s="5" t="s">
        <v>11</v>
      </c>
      <c r="B12" s="8" t="n">
        <f aca="false">'Monthly-Metrics'!B7-'Monthly-Metrics'!B4</f>
        <v>2</v>
      </c>
    </row>
    <row r="14" customFormat="false" ht="15" hidden="false" customHeight="false" outlineLevel="0" collapsed="false">
      <c r="B14" s="9" t="s">
        <v>12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6" min="5" style="0" width="22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31.5" hidden="false" customHeight="true" outlineLevel="0" collapsed="false">
      <c r="A1" s="4" t="s">
        <v>13</v>
      </c>
      <c r="B1" s="4" t="s">
        <v>4</v>
      </c>
      <c r="C1" s="4" t="s">
        <v>14</v>
      </c>
      <c r="D1" s="4" t="s">
        <v>6</v>
      </c>
      <c r="E1" s="4" t="s">
        <v>7</v>
      </c>
      <c r="F1" s="4" t="s">
        <v>15</v>
      </c>
      <c r="G1" s="4" t="s">
        <v>16</v>
      </c>
      <c r="H1" s="4" t="s">
        <v>17</v>
      </c>
    </row>
    <row r="2" customFormat="false" ht="15" hidden="false" customHeight="false" outlineLevel="0" collapsed="false">
      <c r="A2" s="10" t="s">
        <v>18</v>
      </c>
      <c r="B2" s="10" t="n">
        <v>14</v>
      </c>
      <c r="C2" s="10" t="n">
        <v>4</v>
      </c>
      <c r="D2" s="10" t="n">
        <v>1</v>
      </c>
      <c r="E2" s="10" t="n">
        <v>3</v>
      </c>
      <c r="F2" s="11" t="n">
        <v>0.88</v>
      </c>
      <c r="G2" s="11" t="n">
        <v>1</v>
      </c>
      <c r="H2" s="10" t="n">
        <v>1</v>
      </c>
    </row>
    <row r="3" customFormat="false" ht="15" hidden="false" customHeight="false" outlineLevel="0" collapsed="false">
      <c r="A3" s="10" t="s">
        <v>19</v>
      </c>
      <c r="B3" s="10" t="n">
        <v>15</v>
      </c>
      <c r="C3" s="10" t="n">
        <v>4</v>
      </c>
      <c r="D3" s="10" t="n">
        <v>1</v>
      </c>
      <c r="E3" s="10" t="n">
        <v>4</v>
      </c>
      <c r="F3" s="11" t="n">
        <v>0.9</v>
      </c>
      <c r="G3" s="11" t="n">
        <v>1</v>
      </c>
      <c r="H3" s="10" t="n">
        <v>1</v>
      </c>
    </row>
    <row r="4" customFormat="false" ht="15" hidden="false" customHeight="false" outlineLevel="0" collapsed="false">
      <c r="A4" s="10" t="s">
        <v>20</v>
      </c>
      <c r="B4" s="10" t="n">
        <v>16</v>
      </c>
      <c r="C4" s="10" t="n">
        <v>3</v>
      </c>
      <c r="D4" s="10" t="n">
        <v>2</v>
      </c>
      <c r="E4" s="10" t="n">
        <v>5</v>
      </c>
      <c r="F4" s="11" t="n">
        <v>0.91</v>
      </c>
      <c r="G4" s="11" t="n">
        <v>1</v>
      </c>
      <c r="H4" s="10" t="n">
        <v>0</v>
      </c>
    </row>
    <row r="5" customFormat="false" ht="15" hidden="false" customHeight="false" outlineLevel="0" collapsed="false">
      <c r="A5" s="10" t="s">
        <v>21</v>
      </c>
      <c r="B5" s="10" t="n">
        <v>17</v>
      </c>
      <c r="C5" s="10" t="n">
        <v>3</v>
      </c>
      <c r="D5" s="10" t="n">
        <v>1</v>
      </c>
      <c r="E5" s="10" t="n">
        <v>4</v>
      </c>
      <c r="F5" s="11" t="n">
        <v>0.92</v>
      </c>
      <c r="G5" s="11" t="n">
        <v>1</v>
      </c>
      <c r="H5" s="10" t="n">
        <v>1</v>
      </c>
    </row>
    <row r="6" customFormat="false" ht="15" hidden="false" customHeight="false" outlineLevel="0" collapsed="false">
      <c r="A6" s="10" t="s">
        <v>22</v>
      </c>
      <c r="B6" s="10" t="n">
        <v>19</v>
      </c>
      <c r="C6" s="10" t="n">
        <v>4</v>
      </c>
      <c r="D6" s="10" t="n">
        <v>2</v>
      </c>
      <c r="E6" s="10" t="n">
        <v>6</v>
      </c>
      <c r="F6" s="11" t="n">
        <v>0.93</v>
      </c>
      <c r="G6" s="11" t="n">
        <v>1</v>
      </c>
      <c r="H6" s="10" t="n">
        <v>1</v>
      </c>
    </row>
    <row r="7" customFormat="false" ht="15" hidden="false" customHeight="false" outlineLevel="0" collapsed="false">
      <c r="A7" s="10" t="s">
        <v>23</v>
      </c>
      <c r="B7" s="10" t="n">
        <v>18</v>
      </c>
      <c r="C7" s="10" t="n">
        <v>3</v>
      </c>
      <c r="D7" s="10" t="n">
        <v>2</v>
      </c>
      <c r="E7" s="10" t="n">
        <v>7</v>
      </c>
      <c r="F7" s="11" t="n">
        <v>0.94</v>
      </c>
      <c r="G7" s="11" t="n">
        <v>1</v>
      </c>
      <c r="H7" s="10" t="n">
        <v>1</v>
      </c>
    </row>
    <row r="9" customFormat="false" ht="15" hidden="false" customHeight="false" outlineLevel="0" collapsed="false">
      <c r="B9" s="9" t="s">
        <v>24</v>
      </c>
    </row>
  </sheetData>
  <autoFilter ref="A1:H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2026-09-21T16:21:41Z</dcterms:created>
  <dc:creator>openpyxl</dc:creator>
  <dc:description/>
  <dc:language>en-US</dc:language>
  <cp:lastModifiedBy/>
  <dcterms:modified xsi:type="dcterms:W3CDTF">2026-09-21T16:21:41Z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
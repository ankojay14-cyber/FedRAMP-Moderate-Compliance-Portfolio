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3adc6c92d97707/Documents/KTech-FedRAMP-Moderate-Program/08-Risk-Management/"/>
    </mc:Choice>
  </mc:AlternateContent>
  <xr:revisionPtr revIDLastSave="3" documentId="11_88CD53D17C3F7B0DD81D49ECA73457EED01BE754" xr6:coauthVersionLast="47" xr6:coauthVersionMax="47" xr10:uidLastSave="{C4F4D9D8-B351-4BE1-B2BA-7B6457CD531E}"/>
  <bookViews>
    <workbookView xWindow="28680" yWindow="-120" windowWidth="29040" windowHeight="15720" tabRatio="500" xr2:uid="{00000000-000D-0000-FFFF-FFFF00000000}"/>
  </bookViews>
  <sheets>
    <sheet name="Risk Register" sheetId="1" r:id="rId1"/>
  </sheets>
  <definedNames>
    <definedName name="_xlnm._FilterDatabase" localSheetId="0" hidden="1">'Risk Register'!$A$1:$N$11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" i="1" l="1"/>
  <c r="F11" i="1"/>
  <c r="J10" i="1"/>
  <c r="F10" i="1"/>
  <c r="J9" i="1"/>
  <c r="F9" i="1"/>
  <c r="J8" i="1"/>
  <c r="F8" i="1"/>
  <c r="J7" i="1"/>
  <c r="F7" i="1"/>
  <c r="J6" i="1"/>
  <c r="F6" i="1"/>
  <c r="J5" i="1"/>
  <c r="F5" i="1"/>
  <c r="J4" i="1"/>
  <c r="F4" i="1"/>
  <c r="J3" i="1"/>
  <c r="F3" i="1"/>
  <c r="J2" i="1"/>
  <c r="F2" i="1"/>
</calcChain>
</file>

<file path=xl/sharedStrings.xml><?xml version="1.0" encoding="utf-8"?>
<sst xmlns="http://schemas.openxmlformats.org/spreadsheetml/2006/main" count="85" uniqueCount="56">
  <si>
    <t>Risk ID</t>
  </si>
  <si>
    <t>Risk Description</t>
  </si>
  <si>
    <t>Category</t>
  </si>
  <si>
    <t>Likelihood (1-5)</t>
  </si>
  <si>
    <t>Impact (1-5)</t>
  </si>
  <si>
    <t>Inherent Risk Score</t>
  </si>
  <si>
    <t>Existing Controls / Mitigations</t>
  </si>
  <si>
    <t>Residual Likelihood (1-5)</t>
  </si>
  <si>
    <t>Residual Impact (1-5)</t>
  </si>
  <si>
    <t>Residual Risk Score</t>
  </si>
  <si>
    <t>Risk Owner</t>
  </si>
  <si>
    <t>Treatment</t>
  </si>
  <si>
    <t>Status</t>
  </si>
  <si>
    <t>Next Review</t>
  </si>
  <si>
    <t>R-01</t>
  </si>
  <si>
    <t>Subprocessor (analytics vendor) experiences a data breach affecting shared PHI</t>
  </si>
  <si>
    <t>Vendor</t>
  </si>
  <si>
    <t>Annual SOC 2 review; DPA with breach notification clause; data minimization</t>
  </si>
  <si>
    <t>GRC</t>
  </si>
  <si>
    <t>Mitigate</t>
  </si>
  <si>
    <t>Active</t>
  </si>
  <si>
    <t>R-02</t>
  </si>
  <si>
    <t>Underlying IaaS (AWS GovCloud) service disruption affects availability</t>
  </si>
  <si>
    <t>Cloud</t>
  </si>
  <si>
    <t>Multi-AZ deployment; documented contingency plan; SLA monitoring</t>
  </si>
  <si>
    <t>Cloud Engineering</t>
  </si>
  <si>
    <t>R-03</t>
  </si>
  <si>
    <t>Misconfiguration during rapid deployment introduces a security gap</t>
  </si>
  <si>
    <t>Operational</t>
  </si>
  <si>
    <t>IaC policy-as-code gates; peer review on all changes; AWS Config drift detection</t>
  </si>
  <si>
    <t>R-04</t>
  </si>
  <si>
    <t>Insider threat: privileged user misuses access to PHI</t>
  </si>
  <si>
    <t>Least privilege (AC-6); PIM time-bound access; audit logging (AU-6); background screening (PS-3)</t>
  </si>
  <si>
    <t>IAM Team</t>
  </si>
  <si>
    <t>R-05</t>
  </si>
  <si>
    <t>3PAO identifies a material weakness jeopardizing authorization timeline</t>
  </si>
  <si>
    <t>Compliance</t>
  </si>
  <si>
    <t>Internal readiness review before SAP; evidence request tracker; early gap remediation</t>
  </si>
  <si>
    <t>R-06</t>
  </si>
  <si>
    <t>Unpatched critical vulnerability exploited before SLA remediation</t>
  </si>
  <si>
    <t>Monthly authenticated scanning; risk-based SLA triage; compensating WAF/network controls</t>
  </si>
  <si>
    <t>Vuln. Mgmt Team</t>
  </si>
  <si>
    <t>R-07</t>
  </si>
  <si>
    <t>Regulatory change (FedRAMP baseline revision) requires re-mapping of controls</t>
  </si>
  <si>
    <t>Quarterly monitoring of FedRAMP PMO announcements; SSP review cadence</t>
  </si>
  <si>
    <t>Accept</t>
  </si>
  <si>
    <t>R-08</t>
  </si>
  <si>
    <t>Key personnel departure disrupts ISSO/GRC continuity</t>
  </si>
  <si>
    <t>Documented procedures; cross-training; succession planning</t>
  </si>
  <si>
    <t>R-09</t>
  </si>
  <si>
    <t>Third-party API integration introduces an unvetted data flow</t>
  </si>
  <si>
    <t>Vendor risk assessment (SA-9) required before integration approval; network segmentation</t>
  </si>
  <si>
    <t>R-10</t>
  </si>
  <si>
    <t>Cost/resource constraint delays remediation of Moderate findings</t>
  </si>
  <si>
    <t>Risk-based prioritization; leadership visibility via ConMon metrics dashboard</t>
  </si>
  <si>
    <t>Risk Score = Likelihood x Impact (1-5 scale each, so 1-25). Fill reflects inherent risk band: red &gt;= 15 (High), yellow 8-14 (Moderate), green &lt;= 7 (Low). Residual score reflects risk after existing controls/mitigations.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</si>
</sst>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pane ySplit="1" topLeftCell="A2" activePane="bottomLeft" state="frozen"/>
      <selection pane="bottomLeft" activeCell="C18" sqref="C18"/>
    </sheetView>
  </sheetViews>
  <sheetFormatPr defaultColWidth="8.6328125" defaultRowHeight="14.5" x14ac:dyDescent="0.35"/>
  <cols>
    <col min="1" max="1" width="8" customWidth="1"/>
    <col min="2" max="2" width="78.36328125" customWidth="1"/>
    <col min="3" max="3" width="12" customWidth="1"/>
    <col min="4" max="4" width="13" customWidth="1"/>
    <col min="5" max="5" width="10" customWidth="1"/>
    <col min="6" max="6" width="14" customWidth="1"/>
    <col min="7" max="7" width="46" customWidth="1"/>
    <col min="8" max="8" width="15" customWidth="1"/>
    <col min="9" max="9" width="13" customWidth="1"/>
    <col min="10" max="10" width="14" customWidth="1"/>
    <col min="11" max="11" width="16" customWidth="1"/>
    <col min="12" max="12" width="12" customWidth="1"/>
    <col min="13" max="13" width="10" customWidth="1"/>
    <col min="14" max="14" width="14" customWidth="1"/>
  </cols>
  <sheetData>
    <row r="1" spans="1:14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3">
        <v>4</v>
      </c>
      <c r="E2" s="3">
        <v>5</v>
      </c>
      <c r="F2" s="3">
        <f t="shared" ref="F2:F11" si="0">D2*E2</f>
        <v>20</v>
      </c>
      <c r="G2" s="2" t="s">
        <v>17</v>
      </c>
      <c r="H2" s="3">
        <v>2</v>
      </c>
      <c r="I2" s="3">
        <v>5</v>
      </c>
      <c r="J2" s="3">
        <f t="shared" ref="J2:J11" si="1">H2*I2</f>
        <v>10</v>
      </c>
      <c r="K2" s="2" t="s">
        <v>18</v>
      </c>
      <c r="L2" s="2" t="s">
        <v>19</v>
      </c>
      <c r="M2" s="2" t="s">
        <v>20</v>
      </c>
      <c r="N2" s="4">
        <v>46357</v>
      </c>
    </row>
    <row r="3" spans="1:14" x14ac:dyDescent="0.35">
      <c r="A3" s="5" t="s">
        <v>21</v>
      </c>
      <c r="B3" s="5" t="s">
        <v>22</v>
      </c>
      <c r="C3" s="5" t="s">
        <v>23</v>
      </c>
      <c r="D3" s="6">
        <v>2</v>
      </c>
      <c r="E3" s="6">
        <v>4</v>
      </c>
      <c r="F3" s="6">
        <f t="shared" si="0"/>
        <v>8</v>
      </c>
      <c r="G3" s="5" t="s">
        <v>24</v>
      </c>
      <c r="H3" s="6">
        <v>1</v>
      </c>
      <c r="I3" s="6">
        <v>3</v>
      </c>
      <c r="J3" s="6">
        <f t="shared" si="1"/>
        <v>3</v>
      </c>
      <c r="K3" s="5" t="s">
        <v>25</v>
      </c>
      <c r="L3" s="5" t="s">
        <v>19</v>
      </c>
      <c r="M3" s="5" t="s">
        <v>20</v>
      </c>
      <c r="N3" s="7">
        <v>46357</v>
      </c>
    </row>
    <row r="4" spans="1:14" x14ac:dyDescent="0.35">
      <c r="A4" s="5" t="s">
        <v>26</v>
      </c>
      <c r="B4" s="5" t="s">
        <v>27</v>
      </c>
      <c r="C4" s="5" t="s">
        <v>28</v>
      </c>
      <c r="D4" s="6">
        <v>3</v>
      </c>
      <c r="E4" s="6">
        <v>4</v>
      </c>
      <c r="F4" s="6">
        <f t="shared" si="0"/>
        <v>12</v>
      </c>
      <c r="G4" s="5" t="s">
        <v>29</v>
      </c>
      <c r="H4" s="6">
        <v>2</v>
      </c>
      <c r="I4" s="6">
        <v>3</v>
      </c>
      <c r="J4" s="6">
        <f t="shared" si="1"/>
        <v>6</v>
      </c>
      <c r="K4" s="5" t="s">
        <v>25</v>
      </c>
      <c r="L4" s="5" t="s">
        <v>19</v>
      </c>
      <c r="M4" s="5" t="s">
        <v>20</v>
      </c>
      <c r="N4" s="7">
        <v>46341</v>
      </c>
    </row>
    <row r="5" spans="1:14" x14ac:dyDescent="0.35">
      <c r="A5" s="5" t="s">
        <v>30</v>
      </c>
      <c r="B5" s="5" t="s">
        <v>31</v>
      </c>
      <c r="C5" s="5" t="s">
        <v>28</v>
      </c>
      <c r="D5" s="6">
        <v>2</v>
      </c>
      <c r="E5" s="6">
        <v>5</v>
      </c>
      <c r="F5" s="6">
        <f t="shared" si="0"/>
        <v>10</v>
      </c>
      <c r="G5" s="5" t="s">
        <v>32</v>
      </c>
      <c r="H5" s="6">
        <v>1</v>
      </c>
      <c r="I5" s="6">
        <v>5</v>
      </c>
      <c r="J5" s="6">
        <f t="shared" si="1"/>
        <v>5</v>
      </c>
      <c r="K5" s="5" t="s">
        <v>33</v>
      </c>
      <c r="L5" s="5" t="s">
        <v>19</v>
      </c>
      <c r="M5" s="5" t="s">
        <v>20</v>
      </c>
      <c r="N5" s="7">
        <v>46357</v>
      </c>
    </row>
    <row r="6" spans="1:14" x14ac:dyDescent="0.35">
      <c r="A6" s="5" t="s">
        <v>34</v>
      </c>
      <c r="B6" s="5" t="s">
        <v>35</v>
      </c>
      <c r="C6" s="5" t="s">
        <v>36</v>
      </c>
      <c r="D6" s="6">
        <v>3</v>
      </c>
      <c r="E6" s="6">
        <v>4</v>
      </c>
      <c r="F6" s="6">
        <f t="shared" si="0"/>
        <v>12</v>
      </c>
      <c r="G6" s="5" t="s">
        <v>37</v>
      </c>
      <c r="H6" s="6">
        <v>2</v>
      </c>
      <c r="I6" s="6">
        <v>3</v>
      </c>
      <c r="J6" s="6">
        <f t="shared" si="1"/>
        <v>6</v>
      </c>
      <c r="K6" s="5" t="s">
        <v>18</v>
      </c>
      <c r="L6" s="5" t="s">
        <v>19</v>
      </c>
      <c r="M6" s="5" t="s">
        <v>20</v>
      </c>
      <c r="N6" s="7">
        <v>46296</v>
      </c>
    </row>
    <row r="7" spans="1:14" x14ac:dyDescent="0.35">
      <c r="A7" s="2" t="s">
        <v>38</v>
      </c>
      <c r="B7" s="2" t="s">
        <v>39</v>
      </c>
      <c r="C7" s="2" t="s">
        <v>28</v>
      </c>
      <c r="D7" s="3">
        <v>3</v>
      </c>
      <c r="E7" s="3">
        <v>5</v>
      </c>
      <c r="F7" s="3">
        <f t="shared" si="0"/>
        <v>15</v>
      </c>
      <c r="G7" s="2" t="s">
        <v>40</v>
      </c>
      <c r="H7" s="3">
        <v>2</v>
      </c>
      <c r="I7" s="3">
        <v>4</v>
      </c>
      <c r="J7" s="3">
        <f t="shared" si="1"/>
        <v>8</v>
      </c>
      <c r="K7" s="2" t="s">
        <v>41</v>
      </c>
      <c r="L7" s="2" t="s">
        <v>19</v>
      </c>
      <c r="M7" s="2" t="s">
        <v>20</v>
      </c>
      <c r="N7" s="4">
        <v>46310</v>
      </c>
    </row>
    <row r="8" spans="1:14" x14ac:dyDescent="0.35">
      <c r="A8" s="8" t="s">
        <v>42</v>
      </c>
      <c r="B8" s="8" t="s">
        <v>43</v>
      </c>
      <c r="C8" s="8" t="s">
        <v>36</v>
      </c>
      <c r="D8" s="9">
        <v>2</v>
      </c>
      <c r="E8" s="9">
        <v>3</v>
      </c>
      <c r="F8" s="9">
        <f t="shared" si="0"/>
        <v>6</v>
      </c>
      <c r="G8" s="8" t="s">
        <v>44</v>
      </c>
      <c r="H8" s="9">
        <v>2</v>
      </c>
      <c r="I8" s="9">
        <v>2</v>
      </c>
      <c r="J8" s="9">
        <f t="shared" si="1"/>
        <v>4</v>
      </c>
      <c r="K8" s="8" t="s">
        <v>18</v>
      </c>
      <c r="L8" s="8" t="s">
        <v>45</v>
      </c>
      <c r="M8" s="8" t="s">
        <v>20</v>
      </c>
      <c r="N8" s="10">
        <v>46388</v>
      </c>
    </row>
    <row r="9" spans="1:14" x14ac:dyDescent="0.35">
      <c r="A9" s="8" t="s">
        <v>46</v>
      </c>
      <c r="B9" s="8" t="s">
        <v>47</v>
      </c>
      <c r="C9" s="8" t="s">
        <v>28</v>
      </c>
      <c r="D9" s="9">
        <v>2</v>
      </c>
      <c r="E9" s="9">
        <v>3</v>
      </c>
      <c r="F9" s="9">
        <f t="shared" si="0"/>
        <v>6</v>
      </c>
      <c r="G9" s="8" t="s">
        <v>48</v>
      </c>
      <c r="H9" s="9">
        <v>2</v>
      </c>
      <c r="I9" s="9">
        <v>2</v>
      </c>
      <c r="J9" s="9">
        <f t="shared" si="1"/>
        <v>4</v>
      </c>
      <c r="K9" s="8" t="s">
        <v>18</v>
      </c>
      <c r="L9" s="8" t="s">
        <v>19</v>
      </c>
      <c r="M9" s="8" t="s">
        <v>20</v>
      </c>
      <c r="N9" s="10">
        <v>46357</v>
      </c>
    </row>
    <row r="10" spans="1:14" x14ac:dyDescent="0.35">
      <c r="A10" s="5" t="s">
        <v>49</v>
      </c>
      <c r="B10" s="5" t="s">
        <v>50</v>
      </c>
      <c r="C10" s="5" t="s">
        <v>16</v>
      </c>
      <c r="D10" s="6">
        <v>3</v>
      </c>
      <c r="E10" s="6">
        <v>3</v>
      </c>
      <c r="F10" s="6">
        <f t="shared" si="0"/>
        <v>9</v>
      </c>
      <c r="G10" s="5" t="s">
        <v>51</v>
      </c>
      <c r="H10" s="6">
        <v>2</v>
      </c>
      <c r="I10" s="6">
        <v>2</v>
      </c>
      <c r="J10" s="6">
        <f t="shared" si="1"/>
        <v>4</v>
      </c>
      <c r="K10" s="5" t="s">
        <v>18</v>
      </c>
      <c r="L10" s="5" t="s">
        <v>19</v>
      </c>
      <c r="M10" s="5" t="s">
        <v>20</v>
      </c>
      <c r="N10" s="7">
        <v>46327</v>
      </c>
    </row>
    <row r="11" spans="1:14" x14ac:dyDescent="0.35">
      <c r="A11" s="8" t="s">
        <v>52</v>
      </c>
      <c r="B11" s="8" t="s">
        <v>53</v>
      </c>
      <c r="C11" s="8" t="s">
        <v>28</v>
      </c>
      <c r="D11" s="9">
        <v>3</v>
      </c>
      <c r="E11" s="9">
        <v>2</v>
      </c>
      <c r="F11" s="9">
        <f t="shared" si="0"/>
        <v>6</v>
      </c>
      <c r="G11" s="8" t="s">
        <v>54</v>
      </c>
      <c r="H11" s="9">
        <v>2</v>
      </c>
      <c r="I11" s="9">
        <v>2</v>
      </c>
      <c r="J11" s="9">
        <f t="shared" si="1"/>
        <v>4</v>
      </c>
      <c r="K11" s="8" t="s">
        <v>18</v>
      </c>
      <c r="L11" s="8" t="s">
        <v>45</v>
      </c>
      <c r="M11" s="8" t="s">
        <v>20</v>
      </c>
      <c r="N11" s="10">
        <v>46357</v>
      </c>
    </row>
    <row r="13" spans="1:14" x14ac:dyDescent="0.35">
      <c r="B13" s="11" t="s">
        <v>55</v>
      </c>
    </row>
  </sheetData>
  <autoFilter ref="A1:N1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Agyemang</dc:creator>
  <dc:description/>
  <cp:lastModifiedBy>J A</cp:lastModifiedBy>
  <cp:revision>0</cp:revision>
  <dcterms:created xsi:type="dcterms:W3CDTF">2026-09-21T16:21:41Z</dcterms:created>
  <dcterms:modified xsi:type="dcterms:W3CDTF">2026-09-21T16:55:31Z</dcterms:modified>
  <dc:language>en-US</dc:language>
</cp:coreProperties>
</file>
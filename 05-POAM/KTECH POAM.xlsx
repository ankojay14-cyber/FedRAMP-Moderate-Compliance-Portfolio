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3adc6c92d97707/Documents/KTech-FedRAMP-Moderate-Program/05-POAM/"/>
    </mc:Choice>
  </mc:AlternateContent>
  <xr:revisionPtr revIDLastSave="0" documentId="8_{F499D73E-0152-4070-9367-6BA3737C4344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POAM" sheetId="1" r:id="rId1"/>
    <sheet name="Summary" sheetId="2" r:id="rId2"/>
  </sheets>
  <definedNames>
    <definedName name="_xlnm._FilterDatabase" localSheetId="0" hidden="1">POAM!$A$1:$N$23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2"/>
  <c r="K23" i="1"/>
  <c r="J23" i="1"/>
  <c r="K22" i="1"/>
  <c r="J22" i="1"/>
  <c r="K21" i="1"/>
  <c r="J21" i="1"/>
  <c r="K20" i="1"/>
  <c r="J20" i="1"/>
  <c r="N19" i="1"/>
  <c r="K19" i="1"/>
  <c r="J19" i="1"/>
  <c r="N18" i="1"/>
  <c r="K18" i="1"/>
  <c r="J18" i="1"/>
  <c r="N17" i="1"/>
  <c r="K17" i="1"/>
  <c r="J17" i="1"/>
  <c r="N16" i="1"/>
  <c r="K16" i="1"/>
  <c r="J16" i="1"/>
  <c r="N15" i="1"/>
  <c r="K15" i="1"/>
  <c r="J15" i="1"/>
  <c r="N14" i="1"/>
  <c r="K14" i="1"/>
  <c r="J14" i="1"/>
  <c r="N13" i="1"/>
  <c r="K13" i="1"/>
  <c r="J13" i="1"/>
  <c r="N12" i="1"/>
  <c r="K12" i="1"/>
  <c r="J12" i="1"/>
  <c r="N11" i="1"/>
  <c r="K11" i="1"/>
  <c r="J11" i="1"/>
  <c r="N10" i="1"/>
  <c r="K10" i="1"/>
  <c r="J10" i="1"/>
  <c r="N9" i="1"/>
  <c r="K9" i="1"/>
  <c r="J9" i="1"/>
  <c r="N8" i="1"/>
  <c r="K8" i="1"/>
  <c r="J8" i="1"/>
  <c r="N7" i="1"/>
  <c r="K7" i="1"/>
  <c r="J7" i="1"/>
  <c r="N6" i="1"/>
  <c r="K6" i="1"/>
  <c r="J6" i="1"/>
  <c r="N5" i="1"/>
  <c r="K5" i="1"/>
  <c r="J5" i="1"/>
  <c r="N4" i="1"/>
  <c r="K4" i="1"/>
  <c r="J4" i="1"/>
  <c r="N3" i="1"/>
  <c r="K3" i="1"/>
  <c r="J3" i="1"/>
  <c r="N2" i="1"/>
  <c r="K2" i="1"/>
  <c r="J2" i="1"/>
</calcChain>
</file>

<file path=xl/sharedStrings.xml><?xml version="1.0" encoding="utf-8"?>
<sst xmlns="http://schemas.openxmlformats.org/spreadsheetml/2006/main" count="225" uniqueCount="144">
  <si>
    <t>POA&amp;M ID</t>
  </si>
  <si>
    <t>Weakness / Finding</t>
  </si>
  <si>
    <t>Source</t>
  </si>
  <si>
    <t>Control ID</t>
  </si>
  <si>
    <t>Severity</t>
  </si>
  <si>
    <t>Asset</t>
  </si>
  <si>
    <t>Owner</t>
  </si>
  <si>
    <t>Detection Date</t>
  </si>
  <si>
    <t>Scheduled Completion</t>
  </si>
  <si>
    <t>Days Open</t>
  </si>
  <si>
    <t>Days Until Due</t>
  </si>
  <si>
    <t>Status</t>
  </si>
  <si>
    <t>Milestones / Remediation Plan</t>
  </si>
  <si>
    <t>Evidence of Closure</t>
  </si>
  <si>
    <t>Snapshot (As-Of) Date -&gt;</t>
  </si>
  <si>
    <t>POA-001</t>
  </si>
  <si>
    <t>Unsupported TLS 1.0/1.1 cipher accepted on load balancer</t>
  </si>
  <si>
    <t>Scan</t>
  </si>
  <si>
    <t>SC-8/SC-13</t>
  </si>
  <si>
    <t>High</t>
  </si>
  <si>
    <t>prod-lb-01</t>
  </si>
  <si>
    <t>Cloud Engineering</t>
  </si>
  <si>
    <t>Remediation</t>
  </si>
  <si>
    <t>Disable legacy ciphers in listener policy; validate via TLS rescan.</t>
  </si>
  <si>
    <t>POA-002</t>
  </si>
  <si>
    <t>Missing critical OS security patch (kernel)</t>
  </si>
  <si>
    <t>SI-2</t>
  </si>
  <si>
    <t>app-tier ASG</t>
  </si>
  <si>
    <t>IT Operations</t>
  </si>
  <si>
    <t>Patch via maintenance window; validate via rescan.</t>
  </si>
  <si>
    <t>POA-003</t>
  </si>
  <si>
    <t>Excessive standing privilege on 3 service accounts</t>
  </si>
  <si>
    <t>Assessment</t>
  </si>
  <si>
    <t>AC-6</t>
  </si>
  <si>
    <t>Moderate</t>
  </si>
  <si>
    <t>IAM</t>
  </si>
  <si>
    <t>IAM Team</t>
  </si>
  <si>
    <t>Open</t>
  </si>
  <si>
    <t>Convert to PIM-eligible roles; remove standing assignment.</t>
  </si>
  <si>
    <t>POA-004</t>
  </si>
  <si>
    <t>Audit log review gap for weekends</t>
  </si>
  <si>
    <t>AU-2/AU-6</t>
  </si>
  <si>
    <t>Sentinel</t>
  </si>
  <si>
    <t>SOC</t>
  </si>
  <si>
    <t>Validation</t>
  </si>
  <si>
    <t>Extend SOC coverage schedule; add automated weekend digest.</t>
  </si>
  <si>
    <t>POA-005</t>
  </si>
  <si>
    <t>S3 bucket policy allows overly broad internal principal</t>
  </si>
  <si>
    <t>AC-3</t>
  </si>
  <si>
    <t>object storage</t>
  </si>
  <si>
    <t>Tighten bucket policy to least-privilege principals.</t>
  </si>
  <si>
    <t>POA-006</t>
  </si>
  <si>
    <t>Container base image missing latest security patches</t>
  </si>
  <si>
    <t>CI/CD registry</t>
  </si>
  <si>
    <t>DevSecOps</t>
  </si>
  <si>
    <t>Rebuild from patched base image; add CI gate.</t>
  </si>
  <si>
    <t>POA-007</t>
  </si>
  <si>
    <t>Password policy allows 90-day rotation vs. recommended risk-based approach</t>
  </si>
  <si>
    <t>IA-5</t>
  </si>
  <si>
    <t>Low</t>
  </si>
  <si>
    <t>Entra ID</t>
  </si>
  <si>
    <t>Migrate to risk-based/passwordless authentication policy.</t>
  </si>
  <si>
    <t>POA-008</t>
  </si>
  <si>
    <t>Contingency plan test overdue by one quarter</t>
  </si>
  <si>
    <t>CP-4</t>
  </si>
  <si>
    <t>N/A</t>
  </si>
  <si>
    <t>Schedule and execute tabletop/failover exercise.</t>
  </si>
  <si>
    <t>POA-009</t>
  </si>
  <si>
    <t>Database instance missing automated minor-version patching</t>
  </si>
  <si>
    <t>RDS instance</t>
  </si>
  <si>
    <t>Enable automated minor version upgrade window.</t>
  </si>
  <si>
    <t>POA-010</t>
  </si>
  <si>
    <t>Software integrity monitoring (file integrity) not yet deployed</t>
  </si>
  <si>
    <t>SI-7</t>
  </si>
  <si>
    <t>app servers</t>
  </si>
  <si>
    <t>Deploy file integrity monitoring agent fleet-wide.</t>
  </si>
  <si>
    <t>POA-011</t>
  </si>
  <si>
    <t>Vendor risk assessment overdue for a subprocessor</t>
  </si>
  <si>
    <t>SA-9</t>
  </si>
  <si>
    <t>GRC</t>
  </si>
  <si>
    <t>Complete annual subprocessor risk questionnaire.</t>
  </si>
  <si>
    <t>POA-012</t>
  </si>
  <si>
    <t>Logging retention below 12-month requirement on one log source</t>
  </si>
  <si>
    <t>AU-11</t>
  </si>
  <si>
    <t>SIEM archive</t>
  </si>
  <si>
    <t>Extend archive retention policy to 12 months.</t>
  </si>
  <si>
    <t>POA-013</t>
  </si>
  <si>
    <t>Non-critical open port (8080) reachable from internal segment</t>
  </si>
  <si>
    <t>SC-7</t>
  </si>
  <si>
    <t>internal subnet</t>
  </si>
  <si>
    <t>Close port or document business justification and restrict source.</t>
  </si>
  <si>
    <t>POA-014</t>
  </si>
  <si>
    <t>MFA not enforced for two legacy service accounts</t>
  </si>
  <si>
    <t>IA-2</t>
  </si>
  <si>
    <t>legacy integration</t>
  </si>
  <si>
    <t>Migrate to certificate-based auth; retire password fallback.</t>
  </si>
  <si>
    <t>POA-015</t>
  </si>
  <si>
    <t>Backup restoration test result not documented for Q2</t>
  </si>
  <si>
    <t>CP-9</t>
  </si>
  <si>
    <t>backup vault</t>
  </si>
  <si>
    <t>Document Q2 restoration test evidence; schedule Q3 test.</t>
  </si>
  <si>
    <t>POA-016</t>
  </si>
  <si>
    <t>Security awareness training completion at 92% (below 100% target)</t>
  </si>
  <si>
    <t>AT-2</t>
  </si>
  <si>
    <t>Send completion reminders; escalate to managers for outstanding staff.</t>
  </si>
  <si>
    <t>POA-017</t>
  </si>
  <si>
    <t>Change record missing CAB approval timestamp for one emergency change</t>
  </si>
  <si>
    <t>CM-3</t>
  </si>
  <si>
    <t>change log</t>
  </si>
  <si>
    <t>Backfill approval documentation; reinforce emergency change procedure.</t>
  </si>
  <si>
    <t>POA-018</t>
  </si>
  <si>
    <t>Risk register residual score not re-validated after control update</t>
  </si>
  <si>
    <t>RA-3</t>
  </si>
  <si>
    <t>Re-score affected risks in Cloud Risk Register following SC-8 remediation.</t>
  </si>
  <si>
    <t>POA-019</t>
  </si>
  <si>
    <t>Weak cipher suite on internal admin console (closed)</t>
  </si>
  <si>
    <t>SC-8</t>
  </si>
  <si>
    <t>admin console</t>
  </si>
  <si>
    <t>Closed</t>
  </si>
  <si>
    <t>Cipher suite updated and validated.</t>
  </si>
  <si>
    <t>Rescan confirmed remediation 2026-06-28</t>
  </si>
  <si>
    <t>POA-020</t>
  </si>
  <si>
    <t>Stale privileged account not disabled within SLA (closed)</t>
  </si>
  <si>
    <t>AC-2</t>
  </si>
  <si>
    <t>Account disabled and access review process tightened.</t>
  </si>
  <si>
    <t>Access review sign-off 2026-06-05</t>
  </si>
  <si>
    <t>POA-021</t>
  </si>
  <si>
    <t>Unencrypted snapshot identified in dev environment (closed)</t>
  </si>
  <si>
    <t>SC-28</t>
  </si>
  <si>
    <t>EBS snapshot</t>
  </si>
  <si>
    <t>Snapshot re-encrypted with KMS CMK; snapshot policy updated.</t>
  </si>
  <si>
    <t>KMS policy export 2026-07-30</t>
  </si>
  <si>
    <t>POA-022</t>
  </si>
  <si>
    <t>Missing CAB record for one standard change (closed)</t>
  </si>
  <si>
    <t>Change process retrained; record backfilled and closed.</t>
  </si>
  <si>
    <t>Change tracker entry CHG-014</t>
  </si>
  <si>
    <t>Days Open / Days Until Due are calculated against the snapshot (as-of) date in M1 (blue, editable) rather than a volatile TODAY() so the register reads consistently between refreshes. Severity fill: red = High, yellow = Moderate, green = Low; grey rows are Closed.</t>
  </si>
  <si>
    <t>Metric</t>
  </si>
  <si>
    <t>Value</t>
  </si>
  <si>
    <t>Total POA&amp;M Items</t>
  </si>
  <si>
    <t>Open POA&amp;M Items</t>
  </si>
  <si>
    <t>High-Risk Open Items</t>
  </si>
  <si>
    <t>Past-Due Open Items</t>
  </si>
  <si>
    <t>Closed Items (Cumulative)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</si>
</sst>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i/>
      <sz val="9"/>
      <name val="Arial"/>
      <charset val="1"/>
    </font>
    <font>
      <b/>
      <sz val="9"/>
      <color rgb="FF0000FF"/>
      <name val="Arial"/>
      <charset val="1"/>
    </font>
    <font>
      <sz val="10"/>
      <color rgb="FF000000"/>
      <name val="Arial"/>
      <charset val="1"/>
    </font>
    <font>
      <i/>
      <sz val="9"/>
      <color rgb="FF59595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D9D9D9"/>
        <bgColor rgb="FFE2EFDA"/>
      </patternFill>
    </fill>
    <fill>
      <patternFill patternType="solid">
        <fgColor rgb="FFFFFF00"/>
        <bgColor rgb="FFFCE4D6"/>
      </patternFill>
    </fill>
    <fill>
      <patternFill patternType="solid">
        <fgColor theme="5" tint="0.39997558519241921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3" fillId="0" borderId="0" xfId="0" applyNumberFormat="1" applyFont="1"/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left" vertical="center"/>
    </xf>
    <xf numFmtId="1" fontId="4" fillId="6" borderId="1" xfId="0" applyNumberFormat="1" applyFont="1" applyFill="1" applyBorder="1" applyAlignment="1">
      <alignment horizontal="left" vertical="center"/>
    </xf>
    <xf numFmtId="0" fontId="5" fillId="0" borderId="0" xfId="0" applyFont="1"/>
    <xf numFmtId="0" fontId="4" fillId="0" borderId="1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left" vertical="center"/>
    </xf>
    <xf numFmtId="1" fontId="4" fillId="7" borderId="1" xfId="0" applyNumberFormat="1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164" fontId="4" fillId="8" borderId="1" xfId="0" applyNumberFormat="1" applyFont="1" applyFill="1" applyBorder="1" applyAlignment="1">
      <alignment horizontal="left" vertical="center"/>
    </xf>
    <xf numFmtId="1" fontId="4" fillId="8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topLeftCell="C1" zoomScaleNormal="100" workbookViewId="0">
      <pane ySplit="1" topLeftCell="A2" activePane="bottomLeft" state="frozen"/>
      <selection pane="bottomLeft" activeCell="K22" sqref="K22"/>
    </sheetView>
  </sheetViews>
  <sheetFormatPr defaultColWidth="8.6328125" defaultRowHeight="14.5" x14ac:dyDescent="0.35"/>
  <cols>
    <col min="1" max="1" width="10" customWidth="1"/>
    <col min="2" max="2" width="42" customWidth="1"/>
    <col min="3" max="3" width="11" customWidth="1"/>
    <col min="4" max="4" width="12" customWidth="1"/>
    <col min="5" max="5" width="10" customWidth="1"/>
    <col min="6" max="7" width="16" customWidth="1"/>
    <col min="8" max="8" width="14" customWidth="1"/>
    <col min="9" max="9" width="16" customWidth="1"/>
    <col min="10" max="10" width="11" customWidth="1"/>
    <col min="11" max="11" width="13" customWidth="1"/>
    <col min="12" max="12" width="12" customWidth="1"/>
    <col min="13" max="13" width="44" customWidth="1"/>
    <col min="14" max="14" width="34" customWidth="1"/>
    <col min="16" max="16" width="22" customWidth="1"/>
    <col min="17" max="17" width="14" customWidth="1"/>
  </cols>
  <sheetData>
    <row r="1" spans="1:17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2" t="s">
        <v>14</v>
      </c>
      <c r="Q1" s="3">
        <v>46286</v>
      </c>
    </row>
    <row r="2" spans="1:17" x14ac:dyDescent="0.35">
      <c r="A2" s="4" t="s">
        <v>15</v>
      </c>
      <c r="B2" s="4" t="s">
        <v>16</v>
      </c>
      <c r="C2" s="19" t="s">
        <v>17</v>
      </c>
      <c r="D2" s="19" t="s">
        <v>18</v>
      </c>
      <c r="E2" s="19" t="s">
        <v>19</v>
      </c>
      <c r="F2" s="19" t="s">
        <v>20</v>
      </c>
      <c r="G2" s="19" t="s">
        <v>21</v>
      </c>
      <c r="H2" s="20">
        <v>46239</v>
      </c>
      <c r="I2" s="20">
        <v>46269</v>
      </c>
      <c r="J2" s="21">
        <f t="shared" ref="J2:J23" si="0">$Q$1-H2</f>
        <v>47</v>
      </c>
      <c r="K2" s="21">
        <f t="shared" ref="K2:K23" si="1">I2-$Q$1</f>
        <v>-17</v>
      </c>
      <c r="L2" s="19" t="s">
        <v>22</v>
      </c>
      <c r="M2" s="19" t="s">
        <v>23</v>
      </c>
      <c r="N2" s="19" t="str">
        <f t="shared" ref="N2:N19" si="2">IF(L2="Closed","See closure evidence log","")</f>
        <v/>
      </c>
    </row>
    <row r="3" spans="1:17" x14ac:dyDescent="0.35">
      <c r="A3" s="4" t="s">
        <v>24</v>
      </c>
      <c r="B3" s="4" t="s">
        <v>25</v>
      </c>
      <c r="C3" s="19" t="s">
        <v>17</v>
      </c>
      <c r="D3" s="19" t="s">
        <v>26</v>
      </c>
      <c r="E3" s="19" t="s">
        <v>19</v>
      </c>
      <c r="F3" s="19" t="s">
        <v>27</v>
      </c>
      <c r="G3" s="19" t="s">
        <v>28</v>
      </c>
      <c r="H3" s="20">
        <v>46244</v>
      </c>
      <c r="I3" s="20">
        <v>46274</v>
      </c>
      <c r="J3" s="21">
        <f t="shared" si="0"/>
        <v>42</v>
      </c>
      <c r="K3" s="21">
        <f t="shared" si="1"/>
        <v>-12</v>
      </c>
      <c r="L3" s="19" t="s">
        <v>22</v>
      </c>
      <c r="M3" s="19" t="s">
        <v>29</v>
      </c>
      <c r="N3" s="19" t="str">
        <f t="shared" si="2"/>
        <v/>
      </c>
    </row>
    <row r="4" spans="1:17" x14ac:dyDescent="0.35">
      <c r="A4" s="16" t="s">
        <v>30</v>
      </c>
      <c r="B4" s="16" t="s">
        <v>31</v>
      </c>
      <c r="C4" s="16" t="s">
        <v>32</v>
      </c>
      <c r="D4" s="16" t="s">
        <v>33</v>
      </c>
      <c r="E4" s="16" t="s">
        <v>34</v>
      </c>
      <c r="F4" s="16" t="s">
        <v>35</v>
      </c>
      <c r="G4" s="16" t="s">
        <v>36</v>
      </c>
      <c r="H4" s="17">
        <v>46204</v>
      </c>
      <c r="I4" s="17">
        <v>46294</v>
      </c>
      <c r="J4" s="18">
        <f t="shared" si="0"/>
        <v>82</v>
      </c>
      <c r="K4" s="18">
        <f t="shared" si="1"/>
        <v>8</v>
      </c>
      <c r="L4" s="16" t="s">
        <v>37</v>
      </c>
      <c r="M4" s="16" t="s">
        <v>38</v>
      </c>
      <c r="N4" s="16" t="str">
        <f t="shared" si="2"/>
        <v/>
      </c>
    </row>
    <row r="5" spans="1:17" x14ac:dyDescent="0.35">
      <c r="A5" s="16" t="s">
        <v>39</v>
      </c>
      <c r="B5" s="16" t="s">
        <v>40</v>
      </c>
      <c r="C5" s="16" t="s">
        <v>32</v>
      </c>
      <c r="D5" s="16" t="s">
        <v>41</v>
      </c>
      <c r="E5" s="16" t="s">
        <v>34</v>
      </c>
      <c r="F5" s="16" t="s">
        <v>42</v>
      </c>
      <c r="G5" s="16" t="s">
        <v>43</v>
      </c>
      <c r="H5" s="17">
        <v>46218</v>
      </c>
      <c r="I5" s="17">
        <v>46308</v>
      </c>
      <c r="J5" s="18">
        <f t="shared" si="0"/>
        <v>68</v>
      </c>
      <c r="K5" s="18">
        <f t="shared" si="1"/>
        <v>22</v>
      </c>
      <c r="L5" s="16" t="s">
        <v>44</v>
      </c>
      <c r="M5" s="16" t="s">
        <v>45</v>
      </c>
      <c r="N5" s="16" t="str">
        <f t="shared" si="2"/>
        <v/>
      </c>
    </row>
    <row r="6" spans="1:17" x14ac:dyDescent="0.35">
      <c r="A6" s="16" t="s">
        <v>46</v>
      </c>
      <c r="B6" s="16" t="s">
        <v>47</v>
      </c>
      <c r="C6" s="16" t="s">
        <v>17</v>
      </c>
      <c r="D6" s="16" t="s">
        <v>48</v>
      </c>
      <c r="E6" s="16" t="s">
        <v>34</v>
      </c>
      <c r="F6" s="16" t="s">
        <v>49</v>
      </c>
      <c r="G6" s="16" t="s">
        <v>21</v>
      </c>
      <c r="H6" s="17">
        <v>46235</v>
      </c>
      <c r="I6" s="17">
        <v>46325</v>
      </c>
      <c r="J6" s="18">
        <f t="shared" si="0"/>
        <v>51</v>
      </c>
      <c r="K6" s="18">
        <f t="shared" si="1"/>
        <v>39</v>
      </c>
      <c r="L6" s="16" t="s">
        <v>37</v>
      </c>
      <c r="M6" s="16" t="s">
        <v>50</v>
      </c>
      <c r="N6" s="16" t="str">
        <f t="shared" si="2"/>
        <v/>
      </c>
    </row>
    <row r="7" spans="1:17" x14ac:dyDescent="0.35">
      <c r="A7" s="16" t="s">
        <v>51</v>
      </c>
      <c r="B7" s="16" t="s">
        <v>52</v>
      </c>
      <c r="C7" s="16" t="s">
        <v>17</v>
      </c>
      <c r="D7" s="16" t="s">
        <v>26</v>
      </c>
      <c r="E7" s="16" t="s">
        <v>34</v>
      </c>
      <c r="F7" s="16" t="s">
        <v>53</v>
      </c>
      <c r="G7" s="16" t="s">
        <v>54</v>
      </c>
      <c r="H7" s="17">
        <v>46246</v>
      </c>
      <c r="I7" s="17">
        <v>46336</v>
      </c>
      <c r="J7" s="18">
        <f t="shared" si="0"/>
        <v>40</v>
      </c>
      <c r="K7" s="18">
        <f t="shared" si="1"/>
        <v>50</v>
      </c>
      <c r="L7" s="16" t="s">
        <v>37</v>
      </c>
      <c r="M7" s="16" t="s">
        <v>55</v>
      </c>
      <c r="N7" s="16" t="str">
        <f t="shared" si="2"/>
        <v/>
      </c>
    </row>
    <row r="8" spans="1:17" x14ac:dyDescent="0.35">
      <c r="A8" s="8" t="s">
        <v>56</v>
      </c>
      <c r="B8" s="8" t="s">
        <v>57</v>
      </c>
      <c r="C8" s="8" t="s">
        <v>32</v>
      </c>
      <c r="D8" s="8" t="s">
        <v>58</v>
      </c>
      <c r="E8" s="8" t="s">
        <v>59</v>
      </c>
      <c r="F8" s="8" t="s">
        <v>60</v>
      </c>
      <c r="G8" s="8" t="s">
        <v>36</v>
      </c>
      <c r="H8" s="9">
        <v>46174</v>
      </c>
      <c r="I8" s="9">
        <v>46354</v>
      </c>
      <c r="J8" s="10">
        <f t="shared" si="0"/>
        <v>112</v>
      </c>
      <c r="K8" s="10">
        <f t="shared" si="1"/>
        <v>68</v>
      </c>
      <c r="L8" s="8" t="s">
        <v>37</v>
      </c>
      <c r="M8" s="8" t="s">
        <v>61</v>
      </c>
      <c r="N8" s="8" t="str">
        <f t="shared" si="2"/>
        <v/>
      </c>
    </row>
    <row r="9" spans="1:17" x14ac:dyDescent="0.35">
      <c r="A9" s="7" t="s">
        <v>62</v>
      </c>
      <c r="B9" s="7" t="s">
        <v>63</v>
      </c>
      <c r="C9" s="16" t="s">
        <v>32</v>
      </c>
      <c r="D9" s="16" t="s">
        <v>64</v>
      </c>
      <c r="E9" s="16" t="s">
        <v>34</v>
      </c>
      <c r="F9" s="16" t="s">
        <v>65</v>
      </c>
      <c r="G9" s="16" t="s">
        <v>21</v>
      </c>
      <c r="H9" s="17">
        <v>46223</v>
      </c>
      <c r="I9" s="17">
        <v>46313</v>
      </c>
      <c r="J9" s="18">
        <f t="shared" si="0"/>
        <v>63</v>
      </c>
      <c r="K9" s="18">
        <f t="shared" si="1"/>
        <v>27</v>
      </c>
      <c r="L9" s="16" t="s">
        <v>37</v>
      </c>
      <c r="M9" s="16" t="s">
        <v>66</v>
      </c>
      <c r="N9" s="16" t="str">
        <f t="shared" si="2"/>
        <v/>
      </c>
    </row>
    <row r="10" spans="1:17" x14ac:dyDescent="0.35">
      <c r="A10" s="7" t="s">
        <v>67</v>
      </c>
      <c r="B10" s="7" t="s">
        <v>68</v>
      </c>
      <c r="C10" s="16" t="s">
        <v>17</v>
      </c>
      <c r="D10" s="16" t="s">
        <v>26</v>
      </c>
      <c r="E10" s="16" t="s">
        <v>34</v>
      </c>
      <c r="F10" s="16" t="s">
        <v>69</v>
      </c>
      <c r="G10" s="16" t="s">
        <v>21</v>
      </c>
      <c r="H10" s="17">
        <v>46249</v>
      </c>
      <c r="I10" s="17">
        <v>46339</v>
      </c>
      <c r="J10" s="18">
        <f t="shared" si="0"/>
        <v>37</v>
      </c>
      <c r="K10" s="18">
        <f t="shared" si="1"/>
        <v>53</v>
      </c>
      <c r="L10" s="16" t="s">
        <v>37</v>
      </c>
      <c r="M10" s="16" t="s">
        <v>70</v>
      </c>
      <c r="N10" s="16" t="str">
        <f t="shared" si="2"/>
        <v/>
      </c>
    </row>
    <row r="11" spans="1:17" x14ac:dyDescent="0.35">
      <c r="A11" s="7" t="s">
        <v>71</v>
      </c>
      <c r="B11" s="7" t="s">
        <v>72</v>
      </c>
      <c r="C11" s="16" t="s">
        <v>32</v>
      </c>
      <c r="D11" s="16" t="s">
        <v>73</v>
      </c>
      <c r="E11" s="16" t="s">
        <v>34</v>
      </c>
      <c r="F11" s="16" t="s">
        <v>74</v>
      </c>
      <c r="G11" s="16" t="s">
        <v>21</v>
      </c>
      <c r="H11" s="17">
        <v>46228</v>
      </c>
      <c r="I11" s="17">
        <v>46318</v>
      </c>
      <c r="J11" s="18">
        <f t="shared" si="0"/>
        <v>58</v>
      </c>
      <c r="K11" s="18">
        <f t="shared" si="1"/>
        <v>32</v>
      </c>
      <c r="L11" s="16" t="s">
        <v>37</v>
      </c>
      <c r="M11" s="16" t="s">
        <v>75</v>
      </c>
      <c r="N11" s="16" t="str">
        <f t="shared" si="2"/>
        <v/>
      </c>
    </row>
    <row r="12" spans="1:17" x14ac:dyDescent="0.35">
      <c r="A12" s="8" t="s">
        <v>76</v>
      </c>
      <c r="B12" s="8" t="s">
        <v>77</v>
      </c>
      <c r="C12" s="8" t="s">
        <v>32</v>
      </c>
      <c r="D12" s="8" t="s">
        <v>78</v>
      </c>
      <c r="E12" s="8" t="s">
        <v>59</v>
      </c>
      <c r="F12" s="8" t="s">
        <v>65</v>
      </c>
      <c r="G12" s="8" t="s">
        <v>79</v>
      </c>
      <c r="H12" s="9">
        <v>46183</v>
      </c>
      <c r="I12" s="9">
        <v>46363</v>
      </c>
      <c r="J12" s="10">
        <f t="shared" si="0"/>
        <v>103</v>
      </c>
      <c r="K12" s="10">
        <f t="shared" si="1"/>
        <v>77</v>
      </c>
      <c r="L12" s="8" t="s">
        <v>37</v>
      </c>
      <c r="M12" s="8" t="s">
        <v>80</v>
      </c>
      <c r="N12" s="8" t="str">
        <f t="shared" si="2"/>
        <v/>
      </c>
    </row>
    <row r="13" spans="1:17" x14ac:dyDescent="0.35">
      <c r="A13" s="7" t="s">
        <v>81</v>
      </c>
      <c r="B13" s="7" t="s">
        <v>82</v>
      </c>
      <c r="C13" s="16" t="s">
        <v>32</v>
      </c>
      <c r="D13" s="16" t="s">
        <v>83</v>
      </c>
      <c r="E13" s="16" t="s">
        <v>34</v>
      </c>
      <c r="F13" s="16" t="s">
        <v>84</v>
      </c>
      <c r="G13" s="16" t="s">
        <v>43</v>
      </c>
      <c r="H13" s="17">
        <v>46235</v>
      </c>
      <c r="I13" s="17">
        <v>46325</v>
      </c>
      <c r="J13" s="18">
        <f t="shared" si="0"/>
        <v>51</v>
      </c>
      <c r="K13" s="18">
        <f t="shared" si="1"/>
        <v>39</v>
      </c>
      <c r="L13" s="16" t="s">
        <v>37</v>
      </c>
      <c r="M13" s="16" t="s">
        <v>85</v>
      </c>
      <c r="N13" s="16" t="str">
        <f t="shared" si="2"/>
        <v/>
      </c>
    </row>
    <row r="14" spans="1:17" x14ac:dyDescent="0.35">
      <c r="A14" s="8" t="s">
        <v>86</v>
      </c>
      <c r="B14" s="8" t="s">
        <v>87</v>
      </c>
      <c r="C14" s="8" t="s">
        <v>17</v>
      </c>
      <c r="D14" s="8" t="s">
        <v>88</v>
      </c>
      <c r="E14" s="8" t="s">
        <v>59</v>
      </c>
      <c r="F14" s="8" t="s">
        <v>89</v>
      </c>
      <c r="G14" s="8" t="s">
        <v>21</v>
      </c>
      <c r="H14" s="9">
        <v>46254</v>
      </c>
      <c r="I14" s="9">
        <v>46434</v>
      </c>
      <c r="J14" s="10">
        <f t="shared" si="0"/>
        <v>32</v>
      </c>
      <c r="K14" s="10">
        <f t="shared" si="1"/>
        <v>148</v>
      </c>
      <c r="L14" s="8" t="s">
        <v>37</v>
      </c>
      <c r="M14" s="8" t="s">
        <v>90</v>
      </c>
      <c r="N14" s="8" t="str">
        <f t="shared" si="2"/>
        <v/>
      </c>
    </row>
    <row r="15" spans="1:17" x14ac:dyDescent="0.35">
      <c r="A15" s="4" t="s">
        <v>91</v>
      </c>
      <c r="B15" s="4" t="s">
        <v>92</v>
      </c>
      <c r="C15" s="4" t="s">
        <v>17</v>
      </c>
      <c r="D15" s="4" t="s">
        <v>93</v>
      </c>
      <c r="E15" s="4" t="s">
        <v>19</v>
      </c>
      <c r="F15" s="4" t="s">
        <v>94</v>
      </c>
      <c r="G15" s="4" t="s">
        <v>36</v>
      </c>
      <c r="H15" s="5">
        <v>46259</v>
      </c>
      <c r="I15" s="5">
        <v>46289</v>
      </c>
      <c r="J15" s="6">
        <f t="shared" si="0"/>
        <v>27</v>
      </c>
      <c r="K15" s="6">
        <f t="shared" si="1"/>
        <v>3</v>
      </c>
      <c r="L15" s="4" t="s">
        <v>22</v>
      </c>
      <c r="M15" s="4" t="s">
        <v>95</v>
      </c>
      <c r="N15" s="4" t="str">
        <f t="shared" si="2"/>
        <v/>
      </c>
    </row>
    <row r="16" spans="1:17" x14ac:dyDescent="0.35">
      <c r="A16" s="8" t="s">
        <v>96</v>
      </c>
      <c r="B16" s="8" t="s">
        <v>97</v>
      </c>
      <c r="C16" s="8" t="s">
        <v>32</v>
      </c>
      <c r="D16" s="8" t="s">
        <v>98</v>
      </c>
      <c r="E16" s="8" t="s">
        <v>59</v>
      </c>
      <c r="F16" s="8" t="s">
        <v>99</v>
      </c>
      <c r="G16" s="8" t="s">
        <v>21</v>
      </c>
      <c r="H16" s="9">
        <v>46208</v>
      </c>
      <c r="I16" s="9">
        <v>46388</v>
      </c>
      <c r="J16" s="10">
        <f t="shared" si="0"/>
        <v>78</v>
      </c>
      <c r="K16" s="10">
        <f t="shared" si="1"/>
        <v>102</v>
      </c>
      <c r="L16" s="8" t="s">
        <v>37</v>
      </c>
      <c r="M16" s="8" t="s">
        <v>100</v>
      </c>
      <c r="N16" s="8" t="str">
        <f t="shared" si="2"/>
        <v/>
      </c>
    </row>
    <row r="17" spans="1:14" x14ac:dyDescent="0.35">
      <c r="A17" s="8" t="s">
        <v>101</v>
      </c>
      <c r="B17" s="8" t="s">
        <v>102</v>
      </c>
      <c r="C17" s="8" t="s">
        <v>32</v>
      </c>
      <c r="D17" s="8" t="s">
        <v>103</v>
      </c>
      <c r="E17" s="8" t="s">
        <v>59</v>
      </c>
      <c r="F17" s="8" t="s">
        <v>65</v>
      </c>
      <c r="G17" s="8" t="s">
        <v>79</v>
      </c>
      <c r="H17" s="9">
        <v>46235</v>
      </c>
      <c r="I17" s="9">
        <v>46325</v>
      </c>
      <c r="J17" s="10">
        <f t="shared" si="0"/>
        <v>51</v>
      </c>
      <c r="K17" s="10">
        <f t="shared" si="1"/>
        <v>39</v>
      </c>
      <c r="L17" s="8" t="s">
        <v>37</v>
      </c>
      <c r="M17" s="8" t="s">
        <v>104</v>
      </c>
      <c r="N17" s="8" t="str">
        <f t="shared" si="2"/>
        <v/>
      </c>
    </row>
    <row r="18" spans="1:14" x14ac:dyDescent="0.35">
      <c r="A18" s="8" t="s">
        <v>105</v>
      </c>
      <c r="B18" s="8" t="s">
        <v>106</v>
      </c>
      <c r="C18" s="8" t="s">
        <v>32</v>
      </c>
      <c r="D18" s="8" t="s">
        <v>107</v>
      </c>
      <c r="E18" s="8" t="s">
        <v>59</v>
      </c>
      <c r="F18" s="8" t="s">
        <v>108</v>
      </c>
      <c r="G18" s="8" t="s">
        <v>21</v>
      </c>
      <c r="H18" s="9">
        <v>46252</v>
      </c>
      <c r="I18" s="9">
        <v>46342</v>
      </c>
      <c r="J18" s="10">
        <f t="shared" si="0"/>
        <v>34</v>
      </c>
      <c r="K18" s="10">
        <f t="shared" si="1"/>
        <v>56</v>
      </c>
      <c r="L18" s="8" t="s">
        <v>37</v>
      </c>
      <c r="M18" s="8" t="s">
        <v>109</v>
      </c>
      <c r="N18" s="8" t="str">
        <f t="shared" si="2"/>
        <v/>
      </c>
    </row>
    <row r="19" spans="1:14" x14ac:dyDescent="0.35">
      <c r="A19" s="8" t="s">
        <v>110</v>
      </c>
      <c r="B19" s="8" t="s">
        <v>111</v>
      </c>
      <c r="C19" s="8" t="s">
        <v>32</v>
      </c>
      <c r="D19" s="8" t="s">
        <v>112</v>
      </c>
      <c r="E19" s="8" t="s">
        <v>59</v>
      </c>
      <c r="F19" s="8" t="s">
        <v>65</v>
      </c>
      <c r="G19" s="8" t="s">
        <v>79</v>
      </c>
      <c r="H19" s="9">
        <v>46256</v>
      </c>
      <c r="I19" s="9">
        <v>46346</v>
      </c>
      <c r="J19" s="10">
        <f t="shared" si="0"/>
        <v>30</v>
      </c>
      <c r="K19" s="10">
        <f t="shared" si="1"/>
        <v>60</v>
      </c>
      <c r="L19" s="8" t="s">
        <v>37</v>
      </c>
      <c r="M19" s="8" t="s">
        <v>113</v>
      </c>
      <c r="N19" s="8" t="str">
        <f t="shared" si="2"/>
        <v/>
      </c>
    </row>
    <row r="20" spans="1:14" x14ac:dyDescent="0.35">
      <c r="A20" s="11" t="s">
        <v>114</v>
      </c>
      <c r="B20" s="11" t="s">
        <v>115</v>
      </c>
      <c r="C20" s="11" t="s">
        <v>17</v>
      </c>
      <c r="D20" s="11" t="s">
        <v>116</v>
      </c>
      <c r="E20" s="11" t="s">
        <v>19</v>
      </c>
      <c r="F20" s="11" t="s">
        <v>117</v>
      </c>
      <c r="G20" s="11" t="s">
        <v>21</v>
      </c>
      <c r="H20" s="12">
        <v>46174</v>
      </c>
      <c r="I20" s="12">
        <v>46204</v>
      </c>
      <c r="J20" s="13">
        <f t="shared" si="0"/>
        <v>112</v>
      </c>
      <c r="K20" s="13">
        <f t="shared" si="1"/>
        <v>-82</v>
      </c>
      <c r="L20" s="11" t="s">
        <v>118</v>
      </c>
      <c r="M20" s="11" t="s">
        <v>119</v>
      </c>
      <c r="N20" s="11" t="s">
        <v>120</v>
      </c>
    </row>
    <row r="21" spans="1:14" x14ac:dyDescent="0.35">
      <c r="A21" s="11" t="s">
        <v>121</v>
      </c>
      <c r="B21" s="11" t="s">
        <v>122</v>
      </c>
      <c r="C21" s="11" t="s">
        <v>17</v>
      </c>
      <c r="D21" s="11" t="s">
        <v>123</v>
      </c>
      <c r="E21" s="11" t="s">
        <v>19</v>
      </c>
      <c r="F21" s="11" t="s">
        <v>60</v>
      </c>
      <c r="G21" s="11" t="s">
        <v>36</v>
      </c>
      <c r="H21" s="12">
        <v>46152</v>
      </c>
      <c r="I21" s="12">
        <v>46182</v>
      </c>
      <c r="J21" s="13">
        <f t="shared" si="0"/>
        <v>134</v>
      </c>
      <c r="K21" s="13">
        <f t="shared" si="1"/>
        <v>-104</v>
      </c>
      <c r="L21" s="11" t="s">
        <v>118</v>
      </c>
      <c r="M21" s="11" t="s">
        <v>124</v>
      </c>
      <c r="N21" s="11" t="s">
        <v>125</v>
      </c>
    </row>
    <row r="22" spans="1:14" x14ac:dyDescent="0.35">
      <c r="A22" s="11" t="s">
        <v>126</v>
      </c>
      <c r="B22" s="11" t="s">
        <v>127</v>
      </c>
      <c r="C22" s="11" t="s">
        <v>17</v>
      </c>
      <c r="D22" s="11" t="s">
        <v>128</v>
      </c>
      <c r="E22" s="11" t="s">
        <v>34</v>
      </c>
      <c r="F22" s="11" t="s">
        <v>129</v>
      </c>
      <c r="G22" s="11" t="s">
        <v>21</v>
      </c>
      <c r="H22" s="12">
        <v>46162</v>
      </c>
      <c r="I22" s="12">
        <v>46252</v>
      </c>
      <c r="J22" s="13">
        <f t="shared" si="0"/>
        <v>124</v>
      </c>
      <c r="K22" s="13">
        <f t="shared" si="1"/>
        <v>-34</v>
      </c>
      <c r="L22" s="11" t="s">
        <v>118</v>
      </c>
      <c r="M22" s="11" t="s">
        <v>130</v>
      </c>
      <c r="N22" s="11" t="s">
        <v>131</v>
      </c>
    </row>
    <row r="23" spans="1:14" x14ac:dyDescent="0.35">
      <c r="A23" s="11" t="s">
        <v>132</v>
      </c>
      <c r="B23" s="11" t="s">
        <v>133</v>
      </c>
      <c r="C23" s="11" t="s">
        <v>32</v>
      </c>
      <c r="D23" s="11" t="s">
        <v>107</v>
      </c>
      <c r="E23" s="11" t="s">
        <v>59</v>
      </c>
      <c r="F23" s="11" t="s">
        <v>108</v>
      </c>
      <c r="G23" s="11" t="s">
        <v>21</v>
      </c>
      <c r="H23" s="12">
        <v>46113</v>
      </c>
      <c r="I23" s="12">
        <v>46293</v>
      </c>
      <c r="J23" s="13">
        <f t="shared" si="0"/>
        <v>173</v>
      </c>
      <c r="K23" s="13">
        <f t="shared" si="1"/>
        <v>7</v>
      </c>
      <c r="L23" s="11" t="s">
        <v>118</v>
      </c>
      <c r="M23" s="11" t="s">
        <v>134</v>
      </c>
      <c r="N23" s="11" t="s">
        <v>135</v>
      </c>
    </row>
    <row r="26" spans="1:14" x14ac:dyDescent="0.35">
      <c r="B26" s="14" t="s">
        <v>136</v>
      </c>
    </row>
  </sheetData>
  <autoFilter ref="A1:N23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Normal="100" workbookViewId="0"/>
  </sheetViews>
  <sheetFormatPr defaultColWidth="8.6328125" defaultRowHeight="14.5" x14ac:dyDescent="0.35"/>
  <cols>
    <col min="1" max="1" width="28" customWidth="1"/>
    <col min="2" max="2" width="14" customWidth="1"/>
  </cols>
  <sheetData>
    <row r="1" spans="1:2" ht="31.5" customHeight="1" x14ac:dyDescent="0.35">
      <c r="A1" s="1" t="s">
        <v>137</v>
      </c>
      <c r="B1" s="1" t="s">
        <v>138</v>
      </c>
    </row>
    <row r="2" spans="1:2" x14ac:dyDescent="0.35">
      <c r="A2" s="15" t="s">
        <v>139</v>
      </c>
      <c r="B2" s="15">
        <f>COUNTA(POAM!A2:A1000)</f>
        <v>22</v>
      </c>
    </row>
    <row r="3" spans="1:2" x14ac:dyDescent="0.35">
      <c r="A3" s="15" t="s">
        <v>140</v>
      </c>
      <c r="B3" s="15">
        <f>COUNTIFS(POAM!L2:L1000,"&lt;&gt;Closed",POAM!L2:L1000,"&lt;&gt;")</f>
        <v>18</v>
      </c>
    </row>
    <row r="4" spans="1:2" x14ac:dyDescent="0.35">
      <c r="A4" s="15" t="s">
        <v>141</v>
      </c>
      <c r="B4" s="15">
        <f>COUNTIFS(POAM!E2:E1000,"High",POAM!L2:L1000,"&lt;&gt;Closed",POAM!L2:L1000,"&lt;&gt;")</f>
        <v>3</v>
      </c>
    </row>
    <row r="5" spans="1:2" x14ac:dyDescent="0.35">
      <c r="A5" s="15" t="s">
        <v>142</v>
      </c>
      <c r="B5" s="15">
        <f>COUNTIFS(POAM!L2:L1000,"&lt;&gt;Closed",POAM!L2:L1000,"&lt;&gt;",POAM!K2:K1000,"&lt;0")</f>
        <v>2</v>
      </c>
    </row>
    <row r="6" spans="1:2" x14ac:dyDescent="0.35">
      <c r="A6" s="15" t="s">
        <v>143</v>
      </c>
      <c r="B6" s="15">
        <f>COUNTIF(POAM!L2:L1000,"Closed")</f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POAM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 A</cp:lastModifiedBy>
  <cp:revision>0</cp:revision>
  <dcterms:created xsi:type="dcterms:W3CDTF">2026-09-21T16:21:41Z</dcterms:created>
  <dcterms:modified xsi:type="dcterms:W3CDTF">2026-09-21T16:52:50Z</dcterms:modified>
  <dc:language>en-US</dc:language>
</cp:coreProperties>
</file>
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ulnerability Register" sheetId="1" state="visible" r:id="rId3"/>
    <sheet name="Summary" sheetId="2" state="visible" r:id="rId4"/>
  </sheets>
  <definedNames>
    <definedName function="false" hidden="true" localSheetId="0" name="_xlnm._FilterDatabase" vbProcedure="false">'Vulnerability Register'!$A$1:$M$13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<sst xmlns="http://schemas.openxmlformats.org/spreadsheetml/2006/main" count="113" uniqueCount="85">
  <si>
    <t xml:space="preserve">Finding ID</t>
  </si>
  <si>
    <t xml:space="preserve">Finding</t>
  </si>
  <si>
    <t xml:space="preserve">CVSS Score</t>
  </si>
  <si>
    <t xml:space="preserve">Severity</t>
  </si>
  <si>
    <t xml:space="preserve">Control Ref</t>
  </si>
  <si>
    <t xml:space="preserve">Asset</t>
  </si>
  <si>
    <t xml:space="preserve">Detection Source</t>
  </si>
  <si>
    <t xml:space="preserve">Detection Date</t>
  </si>
  <si>
    <t xml:space="preserve">SLA (Days)</t>
  </si>
  <si>
    <t xml:space="preserve">Due Date</t>
  </si>
  <si>
    <t xml:space="preserve">Days Remaining</t>
  </si>
  <si>
    <t xml:space="preserve">Status</t>
  </si>
  <si>
    <t xml:space="preserve">Closure / Rescan Date</t>
  </si>
  <si>
    <t xml:space="preserve">SLA Days</t>
  </si>
  <si>
    <t xml:space="preserve">V-001</t>
  </si>
  <si>
    <t xml:space="preserve">Unsupported TLS 1.0/1.1 protocol accepted on public load balancer</t>
  </si>
  <si>
    <t xml:space="preserve">High</t>
  </si>
  <si>
    <t xml:space="preserve">SC-8/SC-13</t>
  </si>
  <si>
    <t xml:space="preserve">prod-lb-01</t>
  </si>
  <si>
    <t xml:space="preserve">Qualys</t>
  </si>
  <si>
    <t xml:space="preserve">Remediation</t>
  </si>
  <si>
    <t xml:space="preserve">Critical</t>
  </si>
  <si>
    <t xml:space="preserve">V-002</t>
  </si>
  <si>
    <t xml:space="preserve">Missing critical OS security patch (kernel privilege escalation, CVE-class)</t>
  </si>
  <si>
    <t xml:space="preserve">SI-2</t>
  </si>
  <si>
    <t xml:space="preserve">app-tier ASG</t>
  </si>
  <si>
    <t xml:space="preserve">V-003</t>
  </si>
  <si>
    <t xml:space="preserve">Excessive privilege assigned to service account (standing admin)</t>
  </si>
  <si>
    <t xml:space="preserve">Moderate</t>
  </si>
  <si>
    <t xml:space="preserve">AC-6</t>
  </si>
  <si>
    <t xml:space="preserve">IAM</t>
  </si>
  <si>
    <t xml:space="preserve">Manual Review</t>
  </si>
  <si>
    <t xml:space="preserve">Open</t>
  </si>
  <si>
    <t xml:space="preserve">V-004</t>
  </si>
  <si>
    <t xml:space="preserve">Audit logging gap identified during control testing (weekend coverage)</t>
  </si>
  <si>
    <t xml:space="preserve">AU-2/AU-6</t>
  </si>
  <si>
    <t xml:space="preserve">Sentinel</t>
  </si>
  <si>
    <t xml:space="preserve">Control Test</t>
  </si>
  <si>
    <t xml:space="preserve">Validation</t>
  </si>
  <si>
    <t xml:space="preserve">Low</t>
  </si>
  <si>
    <t xml:space="preserve">V-005</t>
  </si>
  <si>
    <t xml:space="preserve">Outdated TLS library version on internal API gateway</t>
  </si>
  <si>
    <t xml:space="preserve">SC-8</t>
  </si>
  <si>
    <t xml:space="preserve">internal-api-gw</t>
  </si>
  <si>
    <t xml:space="preserve">Nessus</t>
  </si>
  <si>
    <t xml:space="preserve">V-006</t>
  </si>
  <si>
    <t xml:space="preserve">Default credentials present on non-production test instance</t>
  </si>
  <si>
    <t xml:space="preserve">IA-5</t>
  </si>
  <si>
    <t xml:space="preserve">test-env-03</t>
  </si>
  <si>
    <t xml:space="preserve">Snapshot (As-Of) Date -&gt;</t>
  </si>
  <si>
    <t xml:space="preserve">V-007</t>
  </si>
  <si>
    <t xml:space="preserve">Container base image contains 2 known-exploited CVEs</t>
  </si>
  <si>
    <t xml:space="preserve">CI/CD registry</t>
  </si>
  <si>
    <t xml:space="preserve">Trivy (SCA)</t>
  </si>
  <si>
    <t xml:space="preserve">V-008</t>
  </si>
  <si>
    <t xml:space="preserve">Verbose error messages disclose stack trace on application error page</t>
  </si>
  <si>
    <t xml:space="preserve">SI-11</t>
  </si>
  <si>
    <t xml:space="preserve">web app</t>
  </si>
  <si>
    <t xml:space="preserve">DAST scan</t>
  </si>
  <si>
    <t xml:space="preserve">V-009</t>
  </si>
  <si>
    <t xml:space="preserve">Missing HTTP security headers (CSP, HSTS) on public endpoint</t>
  </si>
  <si>
    <t xml:space="preserve">public web app</t>
  </si>
  <si>
    <t xml:space="preserve">V-010</t>
  </si>
  <si>
    <t xml:space="preserve">Unencrypted EBS snapshot identified in non-production account</t>
  </si>
  <si>
    <t xml:space="preserve">SC-28</t>
  </si>
  <si>
    <t xml:space="preserve">EBS snapshot</t>
  </si>
  <si>
    <t xml:space="preserve">AWS Config</t>
  </si>
  <si>
    <t xml:space="preserve">V-011</t>
  </si>
  <si>
    <t xml:space="preserve">File integrity monitoring not deployed on 2 application hosts</t>
  </si>
  <si>
    <t xml:space="preserve">SI-7</t>
  </si>
  <si>
    <t xml:space="preserve">app servers</t>
  </si>
  <si>
    <t xml:space="preserve">Internal Assessment</t>
  </si>
  <si>
    <t xml:space="preserve">V-012</t>
  </si>
  <si>
    <t xml:space="preserve">Weak cipher suite (RC4) enabled on legacy internal admin console</t>
  </si>
  <si>
    <t xml:space="preserve">admin console</t>
  </si>
  <si>
    <t xml:space="preserve">Closed</t>
  </si>
  <si>
    <t xml:space="preserve">2026-06-28</t>
  </si>
  <si>
    <t xml:space="preserve">SLA and Due Date are formula-driven from the Severity → SLA Days lookup table (P1:Q5). Days Remaining is computed against the snapshot (as-of) date in Q7 (blue, editable). Severity fill: red = Critical, orange = High, yellow = Moderate, green = Low; grey rows are Closed.</t>
  </si>
  <si>
    <t xml:space="preserve">Metric</t>
  </si>
  <si>
    <t xml:space="preserve">Value</t>
  </si>
  <si>
    <t xml:space="preserve">Total Findings</t>
  </si>
  <si>
    <t xml:space="preserve">Open (Not Closed)</t>
  </si>
  <si>
    <t xml:space="preserve">Critical/High Open</t>
  </si>
  <si>
    <t xml:space="preserve">Past SLA (Open)</t>
  </si>
  <si>
    <t xml:space="preserve">Closed (Cumulative)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</si>
</sst>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yyyy\-mm\-dd"/>
    <numFmt numFmtId="167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10"/>
      <color rgb="FF000000"/>
      <name val="Arial"/>
      <family val="0"/>
      <charset val="1"/>
    </font>
    <font>
      <sz val="9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i val="true"/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F0000"/>
        <bgColor rgb="FF993300"/>
      </patternFill>
    </fill>
    <fill>
      <patternFill patternType="solid">
        <fgColor rgb="FFE2EFDA"/>
        <bgColor rgb="FFFCE4D6"/>
      </patternFill>
    </fill>
    <fill>
      <patternFill patternType="solid">
        <fgColor rgb="FFD9D9D9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8"/>
    <col collapsed="false" customWidth="true" hidden="false" outlineLevel="0" max="4" min="3" style="0" width="11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8"/>
    <col collapsed="false" customWidth="true" hidden="false" outlineLevel="0" max="16" min="16" style="0" width="20"/>
    <col collapsed="false" customWidth="true" hidden="false" outlineLevel="0" max="17" min="17" style="0" width="1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P1" s="2" t="s">
        <v>3</v>
      </c>
      <c r="Q1" s="2" t="s">
        <v>13</v>
      </c>
    </row>
    <row r="2" customFormat="false" ht="15" hidden="false" customHeight="false" outlineLevel="0" collapsed="false">
      <c r="A2" s="3" t="s">
        <v>14</v>
      </c>
      <c r="B2" s="3" t="s">
        <v>15</v>
      </c>
      <c r="C2" s="4" t="n">
        <v>7.4</v>
      </c>
      <c r="D2" s="3" t="s">
        <v>16</v>
      </c>
      <c r="E2" s="3" t="s">
        <v>17</v>
      </c>
      <c r="F2" s="3" t="s">
        <v>18</v>
      </c>
      <c r="G2" s="3" t="s">
        <v>19</v>
      </c>
      <c r="H2" s="5" t="n">
        <v>46239</v>
      </c>
      <c r="I2" s="6" t="n">
        <f aca="false">INDEX($Q$2:$Q$5,MATCH(D2,$P$2:$P$5,0))</f>
        <v>30</v>
      </c>
      <c r="J2" s="5" t="n">
        <f aca="false">H2+I2</f>
        <v>46269</v>
      </c>
      <c r="K2" s="6" t="n">
        <f aca="false">J2-$Q$7</f>
        <v>-17</v>
      </c>
      <c r="L2" s="3" t="s">
        <v>20</v>
      </c>
      <c r="M2" s="3"/>
      <c r="P2" s="7" t="s">
        <v>21</v>
      </c>
      <c r="Q2" s="7" t="n">
        <v>15</v>
      </c>
    </row>
    <row r="3" customFormat="false" ht="15" hidden="false" customHeight="false" outlineLevel="0" collapsed="false">
      <c r="A3" s="3" t="s">
        <v>22</v>
      </c>
      <c r="B3" s="3" t="s">
        <v>23</v>
      </c>
      <c r="C3" s="4" t="n">
        <v>8.1</v>
      </c>
      <c r="D3" s="3" t="s">
        <v>16</v>
      </c>
      <c r="E3" s="3" t="s">
        <v>24</v>
      </c>
      <c r="F3" s="3" t="s">
        <v>25</v>
      </c>
      <c r="G3" s="3" t="s">
        <v>19</v>
      </c>
      <c r="H3" s="5" t="n">
        <v>46244</v>
      </c>
      <c r="I3" s="6" t="n">
        <f aca="false">INDEX($Q$2:$Q$5,MATCH(D3,$P$2:$P$5,0))</f>
        <v>30</v>
      </c>
      <c r="J3" s="5" t="n">
        <f aca="false">H3+I3</f>
        <v>46274</v>
      </c>
      <c r="K3" s="6" t="n">
        <f aca="false">J3-$Q$7</f>
        <v>-12</v>
      </c>
      <c r="L3" s="3" t="s">
        <v>20</v>
      </c>
      <c r="M3" s="3"/>
      <c r="P3" s="7" t="s">
        <v>16</v>
      </c>
      <c r="Q3" s="7" t="n">
        <v>30</v>
      </c>
    </row>
    <row r="4" customFormat="false" ht="15" hidden="false" customHeight="false" outlineLevel="0" collapsed="false">
      <c r="A4" s="8" t="s">
        <v>26</v>
      </c>
      <c r="B4" s="8" t="s">
        <v>27</v>
      </c>
      <c r="C4" s="9" t="n">
        <v>5.9</v>
      </c>
      <c r="D4" s="8" t="s">
        <v>28</v>
      </c>
      <c r="E4" s="8" t="s">
        <v>29</v>
      </c>
      <c r="F4" s="8" t="s">
        <v>30</v>
      </c>
      <c r="G4" s="8" t="s">
        <v>31</v>
      </c>
      <c r="H4" s="10" t="n">
        <v>46235</v>
      </c>
      <c r="I4" s="11" t="n">
        <f aca="false">INDEX($Q$2:$Q$5,MATCH(D4,$P$2:$P$5,0))</f>
        <v>90</v>
      </c>
      <c r="J4" s="10" t="n">
        <f aca="false">H4+I4</f>
        <v>46325</v>
      </c>
      <c r="K4" s="11" t="n">
        <f aca="false">J4-$Q$7</f>
        <v>39</v>
      </c>
      <c r="L4" s="8" t="s">
        <v>32</v>
      </c>
      <c r="M4" s="8"/>
      <c r="P4" s="7" t="s">
        <v>28</v>
      </c>
      <c r="Q4" s="7" t="n">
        <v>90</v>
      </c>
    </row>
    <row r="5" customFormat="false" ht="15" hidden="false" customHeight="false" outlineLevel="0" collapsed="false">
      <c r="A5" s="8" t="s">
        <v>33</v>
      </c>
      <c r="B5" s="8" t="s">
        <v>34</v>
      </c>
      <c r="C5" s="9" t="n">
        <v>4.3</v>
      </c>
      <c r="D5" s="8" t="s">
        <v>28</v>
      </c>
      <c r="E5" s="8" t="s">
        <v>35</v>
      </c>
      <c r="F5" s="8" t="s">
        <v>36</v>
      </c>
      <c r="G5" s="8" t="s">
        <v>37</v>
      </c>
      <c r="H5" s="10" t="n">
        <v>46218</v>
      </c>
      <c r="I5" s="11" t="n">
        <f aca="false">INDEX($Q$2:$Q$5,MATCH(D5,$P$2:$P$5,0))</f>
        <v>90</v>
      </c>
      <c r="J5" s="10" t="n">
        <f aca="false">H5+I5</f>
        <v>46308</v>
      </c>
      <c r="K5" s="11" t="n">
        <f aca="false">J5-$Q$7</f>
        <v>22</v>
      </c>
      <c r="L5" s="8" t="s">
        <v>38</v>
      </c>
      <c r="M5" s="8"/>
      <c r="P5" s="7" t="s">
        <v>39</v>
      </c>
      <c r="Q5" s="7" t="n">
        <v>180</v>
      </c>
    </row>
    <row r="6" customFormat="false" ht="15" hidden="false" customHeight="false" outlineLevel="0" collapsed="false">
      <c r="A6" s="8" t="s">
        <v>40</v>
      </c>
      <c r="B6" s="8" t="s">
        <v>41</v>
      </c>
      <c r="C6" s="9" t="n">
        <v>6.8</v>
      </c>
      <c r="D6" s="8" t="s">
        <v>28</v>
      </c>
      <c r="E6" s="8" t="s">
        <v>42</v>
      </c>
      <c r="F6" s="8" t="s">
        <v>43</v>
      </c>
      <c r="G6" s="8" t="s">
        <v>44</v>
      </c>
      <c r="H6" s="10" t="n">
        <v>46246</v>
      </c>
      <c r="I6" s="11" t="n">
        <f aca="false">INDEX($Q$2:$Q$5,MATCH(D6,$P$2:$P$5,0))</f>
        <v>90</v>
      </c>
      <c r="J6" s="10" t="n">
        <f aca="false">H6+I6</f>
        <v>46336</v>
      </c>
      <c r="K6" s="11" t="n">
        <f aca="false">J6-$Q$7</f>
        <v>50</v>
      </c>
      <c r="L6" s="8" t="s">
        <v>32</v>
      </c>
      <c r="M6" s="8"/>
    </row>
    <row r="7" customFormat="false" ht="15" hidden="false" customHeight="false" outlineLevel="0" collapsed="false">
      <c r="A7" s="12" t="s">
        <v>45</v>
      </c>
      <c r="B7" s="12" t="s">
        <v>46</v>
      </c>
      <c r="C7" s="13" t="n">
        <v>9.1</v>
      </c>
      <c r="D7" s="12" t="s">
        <v>21</v>
      </c>
      <c r="E7" s="12" t="s">
        <v>47</v>
      </c>
      <c r="F7" s="12" t="s">
        <v>48</v>
      </c>
      <c r="G7" s="12" t="s">
        <v>19</v>
      </c>
      <c r="H7" s="14" t="n">
        <v>46267</v>
      </c>
      <c r="I7" s="15" t="n">
        <f aca="false">INDEX($Q$2:$Q$5,MATCH(D7,$P$2:$P$5,0))</f>
        <v>15</v>
      </c>
      <c r="J7" s="14" t="n">
        <f aca="false">H7+I7</f>
        <v>46282</v>
      </c>
      <c r="K7" s="15" t="n">
        <f aca="false">J7-$Q$7</f>
        <v>-4</v>
      </c>
      <c r="L7" s="12" t="s">
        <v>20</v>
      </c>
      <c r="M7" s="12"/>
      <c r="P7" s="16" t="s">
        <v>49</v>
      </c>
      <c r="Q7" s="17" t="n">
        <v>46286</v>
      </c>
    </row>
    <row r="8" customFormat="false" ht="15" hidden="false" customHeight="false" outlineLevel="0" collapsed="false">
      <c r="A8" s="3" t="s">
        <v>50</v>
      </c>
      <c r="B8" s="3" t="s">
        <v>51</v>
      </c>
      <c r="C8" s="4" t="n">
        <v>8.6</v>
      </c>
      <c r="D8" s="3" t="s">
        <v>16</v>
      </c>
      <c r="E8" s="3" t="s">
        <v>24</v>
      </c>
      <c r="F8" s="3" t="s">
        <v>52</v>
      </c>
      <c r="G8" s="3" t="s">
        <v>53</v>
      </c>
      <c r="H8" s="5" t="n">
        <v>46254</v>
      </c>
      <c r="I8" s="6" t="n">
        <f aca="false">INDEX($Q$2:$Q$5,MATCH(D8,$P$2:$P$5,0))</f>
        <v>30</v>
      </c>
      <c r="J8" s="5" t="n">
        <f aca="false">H8+I8</f>
        <v>46284</v>
      </c>
      <c r="K8" s="6" t="n">
        <f aca="false">J8-$Q$7</f>
        <v>-2</v>
      </c>
      <c r="L8" s="3" t="s">
        <v>20</v>
      </c>
      <c r="M8" s="3"/>
    </row>
    <row r="9" customFormat="false" ht="15" hidden="false" customHeight="false" outlineLevel="0" collapsed="false">
      <c r="A9" s="18" t="s">
        <v>54</v>
      </c>
      <c r="B9" s="18" t="s">
        <v>55</v>
      </c>
      <c r="C9" s="19" t="n">
        <v>3.7</v>
      </c>
      <c r="D9" s="18" t="s">
        <v>39</v>
      </c>
      <c r="E9" s="18" t="s">
        <v>56</v>
      </c>
      <c r="F9" s="18" t="s">
        <v>57</v>
      </c>
      <c r="G9" s="18" t="s">
        <v>58</v>
      </c>
      <c r="H9" s="20" t="n">
        <v>46231</v>
      </c>
      <c r="I9" s="21" t="n">
        <f aca="false">INDEX($Q$2:$Q$5,MATCH(D9,$P$2:$P$5,0))</f>
        <v>180</v>
      </c>
      <c r="J9" s="20" t="n">
        <f aca="false">H9+I9</f>
        <v>46411</v>
      </c>
      <c r="K9" s="21" t="n">
        <f aca="false">J9-$Q$7</f>
        <v>125</v>
      </c>
      <c r="L9" s="18" t="s">
        <v>32</v>
      </c>
      <c r="M9" s="18"/>
    </row>
    <row r="10" customFormat="false" ht="15" hidden="false" customHeight="false" outlineLevel="0" collapsed="false">
      <c r="A10" s="8" t="s">
        <v>59</v>
      </c>
      <c r="B10" s="8" t="s">
        <v>60</v>
      </c>
      <c r="C10" s="9" t="n">
        <v>4.8</v>
      </c>
      <c r="D10" s="8" t="s">
        <v>28</v>
      </c>
      <c r="E10" s="8" t="s">
        <v>42</v>
      </c>
      <c r="F10" s="8" t="s">
        <v>61</v>
      </c>
      <c r="G10" s="8" t="s">
        <v>58</v>
      </c>
      <c r="H10" s="10" t="n">
        <v>46248</v>
      </c>
      <c r="I10" s="11" t="n">
        <f aca="false">INDEX($Q$2:$Q$5,MATCH(D10,$P$2:$P$5,0))</f>
        <v>90</v>
      </c>
      <c r="J10" s="10" t="n">
        <f aca="false">H10+I10</f>
        <v>46338</v>
      </c>
      <c r="K10" s="11" t="n">
        <f aca="false">J10-$Q$7</f>
        <v>52</v>
      </c>
      <c r="L10" s="8" t="s">
        <v>32</v>
      </c>
      <c r="M10" s="8"/>
    </row>
    <row r="11" customFormat="false" ht="15" hidden="false" customHeight="false" outlineLevel="0" collapsed="false">
      <c r="A11" s="8" t="s">
        <v>62</v>
      </c>
      <c r="B11" s="8" t="s">
        <v>63</v>
      </c>
      <c r="C11" s="9" t="n">
        <v>6.2</v>
      </c>
      <c r="D11" s="8" t="s">
        <v>28</v>
      </c>
      <c r="E11" s="8" t="s">
        <v>64</v>
      </c>
      <c r="F11" s="8" t="s">
        <v>65</v>
      </c>
      <c r="G11" s="8" t="s">
        <v>66</v>
      </c>
      <c r="H11" s="10" t="n">
        <v>46252</v>
      </c>
      <c r="I11" s="11" t="n">
        <f aca="false">INDEX($Q$2:$Q$5,MATCH(D11,$P$2:$P$5,0))</f>
        <v>90</v>
      </c>
      <c r="J11" s="10" t="n">
        <f aca="false">H11+I11</f>
        <v>46342</v>
      </c>
      <c r="K11" s="11" t="n">
        <f aca="false">J11-$Q$7</f>
        <v>56</v>
      </c>
      <c r="L11" s="8" t="s">
        <v>32</v>
      </c>
      <c r="M11" s="8"/>
    </row>
    <row r="12" customFormat="false" ht="15" hidden="false" customHeight="false" outlineLevel="0" collapsed="false">
      <c r="A12" s="8" t="s">
        <v>67</v>
      </c>
      <c r="B12" s="8" t="s">
        <v>68</v>
      </c>
      <c r="C12" s="9" t="n">
        <v>5.4</v>
      </c>
      <c r="D12" s="8" t="s">
        <v>28</v>
      </c>
      <c r="E12" s="8" t="s">
        <v>69</v>
      </c>
      <c r="F12" s="8" t="s">
        <v>70</v>
      </c>
      <c r="G12" s="8" t="s">
        <v>71</v>
      </c>
      <c r="H12" s="10" t="n">
        <v>46228</v>
      </c>
      <c r="I12" s="11" t="n">
        <f aca="false">INDEX($Q$2:$Q$5,MATCH(D12,$P$2:$P$5,0))</f>
        <v>90</v>
      </c>
      <c r="J12" s="10" t="n">
        <f aca="false">H12+I12</f>
        <v>46318</v>
      </c>
      <c r="K12" s="11" t="n">
        <f aca="false">J12-$Q$7</f>
        <v>32</v>
      </c>
      <c r="L12" s="8" t="s">
        <v>32</v>
      </c>
      <c r="M12" s="8"/>
    </row>
    <row r="13" customFormat="false" ht="15" hidden="false" customHeight="false" outlineLevel="0" collapsed="false">
      <c r="A13" s="22" t="s">
        <v>72</v>
      </c>
      <c r="B13" s="22" t="s">
        <v>73</v>
      </c>
      <c r="C13" s="23" t="n">
        <v>7.9</v>
      </c>
      <c r="D13" s="22" t="s">
        <v>16</v>
      </c>
      <c r="E13" s="22" t="s">
        <v>42</v>
      </c>
      <c r="F13" s="22" t="s">
        <v>74</v>
      </c>
      <c r="G13" s="22" t="s">
        <v>44</v>
      </c>
      <c r="H13" s="24" t="n">
        <v>46174</v>
      </c>
      <c r="I13" s="25" t="n">
        <f aca="false">INDEX($Q$2:$Q$5,MATCH(D13,$P$2:$P$5,0))</f>
        <v>30</v>
      </c>
      <c r="J13" s="24" t="n">
        <f aca="false">H13+I13</f>
        <v>46204</v>
      </c>
      <c r="K13" s="25" t="n">
        <f aca="false">J13-$Q$7</f>
        <v>-82</v>
      </c>
      <c r="L13" s="22" t="s">
        <v>75</v>
      </c>
      <c r="M13" s="22" t="s">
        <v>76</v>
      </c>
    </row>
    <row r="15" customFormat="false" ht="15" hidden="false" customHeight="false" outlineLevel="0" collapsed="false">
      <c r="B15" s="26" t="s">
        <v>77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</cols>
  <sheetData>
    <row r="1" customFormat="false" ht="31.5" hidden="false" customHeight="true" outlineLevel="0" collapsed="false">
      <c r="A1" s="1" t="s">
        <v>78</v>
      </c>
      <c r="B1" s="1" t="s">
        <v>79</v>
      </c>
    </row>
    <row r="2" customFormat="false" ht="15" hidden="false" customHeight="false" outlineLevel="0" collapsed="false">
      <c r="A2" s="27" t="s">
        <v>80</v>
      </c>
      <c r="B2" s="27" t="n">
        <f aca="false">COUNTA('Vulnerability Register'!A2:A1000)</f>
        <v>12</v>
      </c>
    </row>
    <row r="3" customFormat="false" ht="15" hidden="false" customHeight="false" outlineLevel="0" collapsed="false">
      <c r="A3" s="27" t="s">
        <v>81</v>
      </c>
      <c r="B3" s="27" t="n">
        <f aca="false">COUNTIFS('Vulnerability Register'!L2:L1000,"&lt;&gt;Closed",'Vulnerability Register'!L2:L1000,"&lt;&gt;")</f>
        <v>11</v>
      </c>
    </row>
    <row r="4" customFormat="false" ht="15" hidden="false" customHeight="false" outlineLevel="0" collapsed="false">
      <c r="A4" s="27" t="s">
        <v>82</v>
      </c>
      <c r="B4" s="27" t="n">
        <f aca="false">COUNTIFS('Vulnerability Register'!D2:D1000,"Critical",'Vulnerability Register'!L2:L1000,"&lt;&gt;Closed")+COUNTIFS('Vulnerability Register'!D2:D1000,"High",'Vulnerability Register'!L2:L1000,"&lt;&gt;Closed")</f>
        <v>4</v>
      </c>
    </row>
    <row r="5" customFormat="false" ht="15" hidden="false" customHeight="false" outlineLevel="0" collapsed="false">
      <c r="A5" s="27" t="s">
        <v>83</v>
      </c>
      <c r="B5" s="27" t="n">
        <f aca="false">COUNTIFS('Vulnerability Register'!L2:L1000,"&lt;&gt;Closed",'Vulnerability Register'!L2:L1000,"&lt;&gt;",'Vulnerability Register'!K2:K1000,"&lt;0")</f>
        <v>4</v>
      </c>
    </row>
    <row r="6" customFormat="false" ht="15" hidden="false" customHeight="false" outlineLevel="0" collapsed="false">
      <c r="A6" s="27" t="s">
        <v>84</v>
      </c>
      <c r="B6" s="27" t="n">
        <f aca="false">COUNTIF('Vulnerability Register'!L2:L1000,"Closed")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2026-09-21T16:21:41Z</dcterms:created>
  <dc:creator>openpyxl</dc:creator>
  <dc:description/>
  <dc:language>en-US</dc:language>
  <cp:lastModifiedBy/>
  <dcterms:modified xsi:type="dcterms:W3CDTF">2026-09-21T16:21:41Z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
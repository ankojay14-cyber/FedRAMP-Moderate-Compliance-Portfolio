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04-3PAO-Assessment/"/>
    </mc:Choice>
  </mc:AlternateContent>
  <xr:revisionPtr revIDLastSave="1" documentId="11_0DC59BFD79C8ACF77126B721FACEFA63D5123AF5" xr6:coauthVersionLast="47" xr6:coauthVersionMax="47" xr10:uidLastSave="{CCA00A7D-1C78-47A1-B861-B7DAA28847FC}"/>
  <bookViews>
    <workbookView xWindow="28680" yWindow="-120" windowWidth="29040" windowHeight="15720" tabRatio="500" xr2:uid="{00000000-000D-0000-FFFF-FFFF00000000}"/>
  </bookViews>
  <sheets>
    <sheet name="SAR Findings" sheetId="1" r:id="rId1"/>
    <sheet name="Summary" sheetId="2" r:id="rId2"/>
    <sheet name="3PAO Communication Log" sheetId="3" r:id="rId3"/>
  </sheets>
  <definedNames>
    <definedName name="_xlnm._FilterDatabase" localSheetId="2" hidden="1">'3PAO Communication Log'!$A$1:$E$9</definedName>
    <definedName name="_xlnm._FilterDatabase" localSheetId="0" hidden="1">'SAR Findings'!$A$1:$H$10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<sst xmlns="http://schemas.openxmlformats.org/spreadsheetml/2006/main" count="126" uniqueCount="101">
  <si>
    <t>SAR Finding ID</t>
  </si>
  <si>
    <t>Control Ref</t>
  </si>
  <si>
    <t>Finding Description</t>
  </si>
  <si>
    <t>Test Method</t>
  </si>
  <si>
    <t>Risk Rating</t>
  </si>
  <si>
    <t>Recommended Corrective Action</t>
  </si>
  <si>
    <t>POA&amp;M Cross-Reference</t>
  </si>
  <si>
    <t>Status</t>
  </si>
  <si>
    <t>SAR-001</t>
  </si>
  <si>
    <t>AC-6</t>
  </si>
  <si>
    <t>Three service accounts hold standing (non-time-bound) administrative privilege rather than PIM-eligible access, contrary to the least-privilege implementation described in the SSP.</t>
  </si>
  <si>
    <t>Examine + Interview</t>
  </si>
  <si>
    <t>Moderate</t>
  </si>
  <si>
    <t>Convert affected accounts to PIM-eligible roles; remove standing assignment.</t>
  </si>
  <si>
    <t>POA-003</t>
  </si>
  <si>
    <t>Open</t>
  </si>
  <si>
    <t>SAR-002</t>
  </si>
  <si>
    <t>AU-2 / AU-6</t>
  </si>
  <si>
    <t>Audit log review coverage has a gap on weekends; anomalous activity occurring outside business hours may not be reviewed until the following Monday.</t>
  </si>
  <si>
    <t>Examine + Test</t>
  </si>
  <si>
    <t>Extend SOC coverage schedule; add automated weekend digest/alerting.</t>
  </si>
  <si>
    <t>POA-004</t>
  </si>
  <si>
    <t>SAR-003</t>
  </si>
  <si>
    <t>CP-4</t>
  </si>
  <si>
    <t>Contingency plan test (tabletop/failover exercise) is overdue by one quarter against the CP-4 testing cadence in the SSP.</t>
  </si>
  <si>
    <t>Examine</t>
  </si>
  <si>
    <t>Schedule and execute a contingency plan tabletop/failover exercise; document results.</t>
  </si>
  <si>
    <t>POA-008</t>
  </si>
  <si>
    <t>SAR-004</t>
  </si>
  <si>
    <t>SI-7</t>
  </si>
  <si>
    <t>Software/firmware integrity monitoring (file integrity monitoring) has not yet been deployed to all in-scope application hosts.</t>
  </si>
  <si>
    <t>Deploy file integrity monitoring agent fleet-wide; validate coverage report.</t>
  </si>
  <si>
    <t>POA-010</t>
  </si>
  <si>
    <t>SAR-005</t>
  </si>
  <si>
    <t>SA-9</t>
  </si>
  <si>
    <t>Annual vendor risk assessment is overdue for one subprocessor with access to system data.</t>
  </si>
  <si>
    <t>Low</t>
  </si>
  <si>
    <t>Complete the annual subprocessor risk questionnaire and update the vendor risk record.</t>
  </si>
  <si>
    <t>POA-011</t>
  </si>
  <si>
    <t>SAR-006</t>
  </si>
  <si>
    <t>AU-11</t>
  </si>
  <si>
    <t>One log source (SIEM archive) retains audit records for less than the required 12-month period.</t>
  </si>
  <si>
    <t>Extend archive retention policy to 12 months and confirm via configuration export.</t>
  </si>
  <si>
    <t>POA-012</t>
  </si>
  <si>
    <t>SAR-007</t>
  </si>
  <si>
    <t>AT-2</t>
  </si>
  <si>
    <t>Security awareness training completion is at 92% against a 100% target for the current cycle.</t>
  </si>
  <si>
    <t>Send completion reminders; escalate outstanding staff to their managers.</t>
  </si>
  <si>
    <t>POA-016</t>
  </si>
  <si>
    <t>SAR-008</t>
  </si>
  <si>
    <t>CM-3</t>
  </si>
  <si>
    <t>One emergency change record is missing a CAB approval timestamp; retroactive ratification was not fully documented at time of testing.</t>
  </si>
  <si>
    <t>Backfill the approval documentation and reinforce the emergency-change procedure.</t>
  </si>
  <si>
    <t>POA-017</t>
  </si>
  <si>
    <t>SAR-009</t>
  </si>
  <si>
    <t>RA-3</t>
  </si>
  <si>
    <t>Cloud Risk Register residual score for one risk was not re-validated after a related control (SC-8) was remediated.</t>
  </si>
  <si>
    <t>Re-score the affected risk in the Cloud Risk Register following SC-8 remediation.</t>
  </si>
  <si>
    <t>POA-018</t>
  </si>
  <si>
    <t>Risk Rating fill: yellow = Moderate, green = Low (no High/Critical control-assessment findings in this cycle; scan-based High/Critical findings are tracked in the Vulnerability Register). Each finding's POA&amp;M Cross-Reference is the item it was converted into in 05-POAM/POAM.xlsx -- the remediation tracker of record.</t>
  </si>
  <si>
    <t>Metric</t>
  </si>
  <si>
    <t>Value</t>
  </si>
  <si>
    <t>Total SAR Findings (this cycle)</t>
  </si>
  <si>
    <t>Moderate Risk Rating</t>
  </si>
  <si>
    <t>Low Risk Rating</t>
  </si>
  <si>
    <t>Findings Converted to POA&amp;M</t>
  </si>
  <si>
    <t>Date</t>
  </si>
  <si>
    <t>Touchpoint Type</t>
  </si>
  <si>
    <t>Participants</t>
  </si>
  <si>
    <t>Topic</t>
  </si>
  <si>
    <t>Outcome / Action Item</t>
  </si>
  <si>
    <t>Kickoff Call</t>
  </si>
  <si>
    <t>ISSO, GRC, Meridian Lead Assessor</t>
  </si>
  <si>
    <t>Confirm assessment scope, boundary, and testing window</t>
  </si>
  <si>
    <t>Scope confirmed against current SSP; testing window set for 2026-09-15 to 2026-09-26</t>
  </si>
  <si>
    <t>Evidence Delivery</t>
  </si>
  <si>
    <t>GRC, IAM, Cloud Engineering</t>
  </si>
  <si>
    <t>Deliver first batch of requested evidence (IA-2, AC-6, RA-5, SC-8, SC-28)</t>
  </si>
  <si>
    <t>5 of 10 evidence requests marked Ready; see Evidence-Request-Tracker.xlsx</t>
  </si>
  <si>
    <t>SAP Review</t>
  </si>
  <si>
    <t>ISSO, Meridian Lead Assessor</t>
  </si>
  <si>
    <t>Review draft Security Assessment Plan: methodology, rules of engagement</t>
  </si>
  <si>
    <t>SAP approved with minor edits to production-testing notification window</t>
  </si>
  <si>
    <t>Weekly Touchpoint</t>
  </si>
  <si>
    <t>ISSO, SOC, Meridian Test Team</t>
  </si>
  <si>
    <t>Testing kickoff status, initial control walkthroughs</t>
  </si>
  <si>
    <t>No blocking issues; AU-6 evidence sample requested for following week</t>
  </si>
  <si>
    <t>Draft Finding Discussion</t>
  </si>
  <si>
    <t>ISSO, Cloud Engineering, Meridian Test Team</t>
  </si>
  <si>
    <t>Informal discussion of AC-6 and CP-4 draft observations</t>
  </si>
  <si>
    <t>KTech concurred with both observations; remediation planning started ahead of SAR</t>
  </si>
  <si>
    <t>ISSO, GRC, Meridian Test Team</t>
  </si>
  <si>
    <t>Mid-assessment status check; remaining evidence gaps</t>
  </si>
  <si>
    <t>CM-2 baseline evidence refreshed and delivered; testing on schedule</t>
  </si>
  <si>
    <t>Testing Close-Out</t>
  </si>
  <si>
    <t>Confirm all testing activities complete; align on SAR timeline</t>
  </si>
  <si>
    <t>SAR draft expected 2026-10-03; no unresolved disputes</t>
  </si>
  <si>
    <t>SAR Review</t>
  </si>
  <si>
    <t>Review draft SAR for factual accuracy before finalization</t>
  </si>
  <si>
    <t>Findings SAR-001 through SAR-009 confirmed accurate; POA&amp;M entries opened</t>
  </si>
  <si>
    <t>A single point of contact (ISSO) is present on every touchpoint to avoid conflicting answers to the 3PAO, per the coordination practices in Assessment-Readiness.md.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</si>
</sst>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12" customWidth="1"/>
    <col min="3" max="3" width="58" customWidth="1"/>
    <col min="4" max="4" width="17" customWidth="1"/>
    <col min="5" max="5" width="11" customWidth="1"/>
    <col min="6" max="6" width="46" customWidth="1"/>
    <col min="7" max="7" width="18" customWidth="1"/>
    <col min="8" max="8" width="10" customWidth="1"/>
  </cols>
  <sheetData>
    <row r="1" spans="1:8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7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7.5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15</v>
      </c>
    </row>
    <row r="4" spans="1:8" ht="25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26</v>
      </c>
      <c r="G4" s="2" t="s">
        <v>27</v>
      </c>
      <c r="H4" s="2" t="s">
        <v>15</v>
      </c>
    </row>
    <row r="5" spans="1:8" ht="25" x14ac:dyDescent="0.35">
      <c r="A5" s="2" t="s">
        <v>28</v>
      </c>
      <c r="B5" s="2" t="s">
        <v>29</v>
      </c>
      <c r="C5" s="2" t="s">
        <v>30</v>
      </c>
      <c r="D5" s="2" t="s">
        <v>11</v>
      </c>
      <c r="E5" s="2" t="s">
        <v>12</v>
      </c>
      <c r="F5" s="2" t="s">
        <v>31</v>
      </c>
      <c r="G5" s="2" t="s">
        <v>32</v>
      </c>
      <c r="H5" s="2" t="s">
        <v>15</v>
      </c>
    </row>
    <row r="6" spans="1:8" ht="25" x14ac:dyDescent="0.35">
      <c r="A6" s="3" t="s">
        <v>33</v>
      </c>
      <c r="B6" s="3" t="s">
        <v>34</v>
      </c>
      <c r="C6" s="3" t="s">
        <v>35</v>
      </c>
      <c r="D6" s="3" t="s">
        <v>25</v>
      </c>
      <c r="E6" s="3" t="s">
        <v>36</v>
      </c>
      <c r="F6" s="3" t="s">
        <v>37</v>
      </c>
      <c r="G6" s="3" t="s">
        <v>38</v>
      </c>
      <c r="H6" s="3" t="s">
        <v>15</v>
      </c>
    </row>
    <row r="7" spans="1:8" ht="25" x14ac:dyDescent="0.35">
      <c r="A7" s="2" t="s">
        <v>39</v>
      </c>
      <c r="B7" s="2" t="s">
        <v>40</v>
      </c>
      <c r="C7" s="2" t="s">
        <v>41</v>
      </c>
      <c r="D7" s="2" t="s">
        <v>25</v>
      </c>
      <c r="E7" s="2" t="s">
        <v>12</v>
      </c>
      <c r="F7" s="2" t="s">
        <v>42</v>
      </c>
      <c r="G7" s="2" t="s">
        <v>43</v>
      </c>
      <c r="H7" s="2" t="s">
        <v>15</v>
      </c>
    </row>
    <row r="8" spans="1:8" ht="25" x14ac:dyDescent="0.35">
      <c r="A8" s="3" t="s">
        <v>44</v>
      </c>
      <c r="B8" s="3" t="s">
        <v>45</v>
      </c>
      <c r="C8" s="3" t="s">
        <v>46</v>
      </c>
      <c r="D8" s="3" t="s">
        <v>25</v>
      </c>
      <c r="E8" s="3" t="s">
        <v>36</v>
      </c>
      <c r="F8" s="3" t="s">
        <v>47</v>
      </c>
      <c r="G8" s="3" t="s">
        <v>48</v>
      </c>
      <c r="H8" s="3" t="s">
        <v>15</v>
      </c>
    </row>
    <row r="9" spans="1:8" ht="25" x14ac:dyDescent="0.35">
      <c r="A9" s="3" t="s">
        <v>49</v>
      </c>
      <c r="B9" s="3" t="s">
        <v>50</v>
      </c>
      <c r="C9" s="3" t="s">
        <v>51</v>
      </c>
      <c r="D9" s="3" t="s">
        <v>25</v>
      </c>
      <c r="E9" s="3" t="s">
        <v>36</v>
      </c>
      <c r="F9" s="3" t="s">
        <v>52</v>
      </c>
      <c r="G9" s="3" t="s">
        <v>53</v>
      </c>
      <c r="H9" s="3" t="s">
        <v>15</v>
      </c>
    </row>
    <row r="10" spans="1:8" ht="25" x14ac:dyDescent="0.35">
      <c r="A10" s="3" t="s">
        <v>54</v>
      </c>
      <c r="B10" s="3" t="s">
        <v>55</v>
      </c>
      <c r="C10" s="3" t="s">
        <v>56</v>
      </c>
      <c r="D10" s="3" t="s">
        <v>25</v>
      </c>
      <c r="E10" s="3" t="s">
        <v>36</v>
      </c>
      <c r="F10" s="3" t="s">
        <v>57</v>
      </c>
      <c r="G10" s="3" t="s">
        <v>58</v>
      </c>
      <c r="H10" s="3" t="s">
        <v>15</v>
      </c>
    </row>
    <row r="12" spans="1:8" x14ac:dyDescent="0.35">
      <c r="B12" s="4" t="s">
        <v>59</v>
      </c>
    </row>
  </sheetData>
  <autoFilter ref="A1:H1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8.6328125" defaultRowHeight="14.5" x14ac:dyDescent="0.35"/>
  <cols>
    <col min="1" max="1" width="32" customWidth="1"/>
    <col min="2" max="2" width="14" customWidth="1"/>
  </cols>
  <sheetData>
    <row r="1" spans="1:2" ht="31.5" customHeight="1" x14ac:dyDescent="0.35">
      <c r="A1" s="1" t="s">
        <v>60</v>
      </c>
      <c r="B1" s="1" t="s">
        <v>61</v>
      </c>
    </row>
    <row r="2" spans="1:2" x14ac:dyDescent="0.35">
      <c r="A2" s="5" t="s">
        <v>62</v>
      </c>
      <c r="B2" s="5">
        <f>COUNTA('SAR Findings'!A2:A1000)</f>
        <v>9</v>
      </c>
    </row>
    <row r="3" spans="1:2" x14ac:dyDescent="0.35">
      <c r="A3" s="5" t="s">
        <v>15</v>
      </c>
      <c r="B3" s="5">
        <f>COUNTIFS('SAR Findings'!H2:H1000,"Open")</f>
        <v>9</v>
      </c>
    </row>
    <row r="4" spans="1:2" x14ac:dyDescent="0.35">
      <c r="A4" s="5" t="s">
        <v>63</v>
      </c>
      <c r="B4" s="5">
        <f>COUNTIF('SAR Findings'!E2:E1000,"Moderate")</f>
        <v>5</v>
      </c>
    </row>
    <row r="5" spans="1:2" x14ac:dyDescent="0.35">
      <c r="A5" s="5" t="s">
        <v>64</v>
      </c>
      <c r="B5" s="5">
        <f>COUNTIF('SAR Findings'!E2:E1000,"Low")</f>
        <v>4</v>
      </c>
    </row>
    <row r="6" spans="1:2" x14ac:dyDescent="0.35">
      <c r="A6" s="5" t="s">
        <v>65</v>
      </c>
      <c r="B6" s="5">
        <f>COUNTIF('SAR Findings'!G2:G1000,"POA-*")</f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30" customWidth="1"/>
    <col min="4" max="4" width="42" customWidth="1"/>
    <col min="5" max="5" width="52" customWidth="1"/>
  </cols>
  <sheetData>
    <row r="1" spans="1:5" ht="31.5" customHeight="1" x14ac:dyDescent="0.3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ht="25" x14ac:dyDescent="0.35">
      <c r="A2" s="6">
        <v>46267</v>
      </c>
      <c r="B2" s="5" t="s">
        <v>71</v>
      </c>
      <c r="C2" s="5" t="s">
        <v>72</v>
      </c>
      <c r="D2" s="5" t="s">
        <v>73</v>
      </c>
      <c r="E2" s="5" t="s">
        <v>74</v>
      </c>
    </row>
    <row r="3" spans="1:5" ht="25" x14ac:dyDescent="0.35">
      <c r="A3" s="6">
        <v>46273</v>
      </c>
      <c r="B3" s="5" t="s">
        <v>75</v>
      </c>
      <c r="C3" s="5" t="s">
        <v>76</v>
      </c>
      <c r="D3" s="5" t="s">
        <v>77</v>
      </c>
      <c r="E3" s="5" t="s">
        <v>78</v>
      </c>
    </row>
    <row r="4" spans="1:5" ht="25" x14ac:dyDescent="0.35">
      <c r="A4" s="6">
        <v>46275</v>
      </c>
      <c r="B4" s="5" t="s">
        <v>79</v>
      </c>
      <c r="C4" s="5" t="s">
        <v>80</v>
      </c>
      <c r="D4" s="5" t="s">
        <v>81</v>
      </c>
      <c r="E4" s="5" t="s">
        <v>82</v>
      </c>
    </row>
    <row r="5" spans="1:5" ht="25" x14ac:dyDescent="0.35">
      <c r="A5" s="6">
        <v>46280</v>
      </c>
      <c r="B5" s="5" t="s">
        <v>83</v>
      </c>
      <c r="C5" s="5" t="s">
        <v>84</v>
      </c>
      <c r="D5" s="5" t="s">
        <v>85</v>
      </c>
      <c r="E5" s="5" t="s">
        <v>86</v>
      </c>
    </row>
    <row r="6" spans="1:5" ht="25" x14ac:dyDescent="0.35">
      <c r="A6" s="6">
        <v>46282</v>
      </c>
      <c r="B6" s="5" t="s">
        <v>87</v>
      </c>
      <c r="C6" s="5" t="s">
        <v>88</v>
      </c>
      <c r="D6" s="5" t="s">
        <v>89</v>
      </c>
      <c r="E6" s="5" t="s">
        <v>90</v>
      </c>
    </row>
    <row r="7" spans="1:5" ht="25" x14ac:dyDescent="0.35">
      <c r="A7" s="6">
        <v>46287</v>
      </c>
      <c r="B7" s="5" t="s">
        <v>83</v>
      </c>
      <c r="C7" s="5" t="s">
        <v>91</v>
      </c>
      <c r="D7" s="5" t="s">
        <v>92</v>
      </c>
      <c r="E7" s="5" t="s">
        <v>93</v>
      </c>
    </row>
    <row r="8" spans="1:5" ht="25" x14ac:dyDescent="0.35">
      <c r="A8" s="6">
        <v>46291</v>
      </c>
      <c r="B8" s="5" t="s">
        <v>94</v>
      </c>
      <c r="C8" s="5" t="s">
        <v>80</v>
      </c>
      <c r="D8" s="5" t="s">
        <v>95</v>
      </c>
      <c r="E8" s="5" t="s">
        <v>96</v>
      </c>
    </row>
    <row r="9" spans="1:5" ht="25" x14ac:dyDescent="0.35">
      <c r="A9" s="6">
        <v>46298</v>
      </c>
      <c r="B9" s="5" t="s">
        <v>97</v>
      </c>
      <c r="C9" s="5" t="s">
        <v>72</v>
      </c>
      <c r="D9" s="5" t="s">
        <v>98</v>
      </c>
      <c r="E9" s="5" t="s">
        <v>99</v>
      </c>
    </row>
    <row r="11" spans="1:5" x14ac:dyDescent="0.35">
      <c r="B11" s="4" t="s">
        <v>100</v>
      </c>
    </row>
  </sheetData>
  <autoFilter ref="A1:E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SAR Findings</vt:lpstr>
      <vt:lpstr>Summary</vt:lpstr>
      <vt:lpstr>3PAO Communication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Agyemang</dc:creator>
  <dc:description/>
  <cp:lastModifiedBy>J A</cp:lastModifiedBy>
  <cp:revision>0</cp:revision>
  <dcterms:created xsi:type="dcterms:W3CDTF">2026-09-21T17:04:16Z</dcterms:created>
  <dcterms:modified xsi:type="dcterms:W3CDTF">2026-09-21T17:09:09Z</dcterms:modified>
  <dc:language>en-US</dc:language>
</cp:coreProperties>
</file>
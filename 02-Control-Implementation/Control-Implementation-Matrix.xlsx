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23adc6c92d97707/Documents/KTech-FedRAMP-Moderate-Program/02-Control-Implementation/"/>
    </mc:Choice>
  </mc:AlternateContent>
  <xr:revisionPtr revIDLastSave="1" documentId="11_FA966BCC5F2A24EC9C0BA91009976EDE385D3EFE" xr6:coauthVersionLast="47" xr6:coauthVersionMax="47" xr10:uidLastSave="{A4A9EDBA-61A6-4DF0-A67A-B0C36755D7F5}"/>
  <bookViews>
    <workbookView xWindow="-110" yWindow="-110" windowWidth="19420" windowHeight="10300" tabRatio="500" xr2:uid="{00000000-000D-0000-FFFF-FFFF00000000}"/>
  </bookViews>
  <sheets>
    <sheet name="Control Matrix" sheetId="1" r:id="rId1"/>
    <sheet name="Summary" sheetId="2" r:id="rId2"/>
  </sheets>
  <definedNames>
    <definedName name="_xlnm._FilterDatabase" localSheetId="0" hidden="1">'Control Matrix'!$A$1:$I$42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2" l="1"/>
  <c r="B4" i="2"/>
  <c r="B3" i="2"/>
  <c r="B6" i="2" s="1"/>
  <c r="B2" i="2"/>
</calcChain>
</file>

<file path=xl/sharedStrings.xml><?xml version="1.0" encoding="utf-8"?>
<sst xmlns="http://schemas.openxmlformats.org/spreadsheetml/2006/main" count="387" uniqueCount="184">
  <si>
    <t>Control ID</t>
  </si>
  <si>
    <t>Control Family</t>
  </si>
  <si>
    <t>Control Name</t>
  </si>
  <si>
    <t>Baseline</t>
  </si>
  <si>
    <t>Control Origination</t>
  </si>
  <si>
    <t>Implementation Status</t>
  </si>
  <si>
    <t>Responsible Role</t>
  </si>
  <si>
    <t>SSP Narrative Ref</t>
  </si>
  <si>
    <t>Last Reviewed</t>
  </si>
  <si>
    <t>AC-1</t>
  </si>
  <si>
    <t>Access Control</t>
  </si>
  <si>
    <t>Policy and Procedures</t>
  </si>
  <si>
    <t>Tailored LI-SaaS</t>
  </si>
  <si>
    <t>Service Provider Corporate</t>
  </si>
  <si>
    <t>Implemented</t>
  </si>
  <si>
    <t>ISSO</t>
  </si>
  <si>
    <t>N/A - policy doc</t>
  </si>
  <si>
    <t>2026-06-01</t>
  </si>
  <si>
    <t>AC-2</t>
  </si>
  <si>
    <t>Account Management</t>
  </si>
  <si>
    <t>System Specific</t>
  </si>
  <si>
    <t>IAM Team</t>
  </si>
  <si>
    <t>SSP: AC-2</t>
  </si>
  <si>
    <t>2026-08-15</t>
  </si>
  <si>
    <t>AC-3</t>
  </si>
  <si>
    <t>Access Enforcement</t>
  </si>
  <si>
    <t>SSP: AC-3</t>
  </si>
  <si>
    <t>AC-6</t>
  </si>
  <si>
    <t>Least Privilege</t>
  </si>
  <si>
    <t>SSP: AC-6</t>
  </si>
  <si>
    <t>AC-7</t>
  </si>
  <si>
    <t>Unsuccessful Logon Attempts</t>
  </si>
  <si>
    <t>SSP: AC-7</t>
  </si>
  <si>
    <t>2026-07-10</t>
  </si>
  <si>
    <t>AC-17</t>
  </si>
  <si>
    <t>Remote Access</t>
  </si>
  <si>
    <t>Hybrid</t>
  </si>
  <si>
    <t>Cloud Engineering</t>
  </si>
  <si>
    <t>SSP: AC-17</t>
  </si>
  <si>
    <t>AT-2</t>
  </si>
  <si>
    <t>Awareness and Training</t>
  </si>
  <si>
    <t>Literacy Training and Awareness</t>
  </si>
  <si>
    <t>GRC</t>
  </si>
  <si>
    <t>N/A - training program</t>
  </si>
  <si>
    <t>2026-05-01</t>
  </si>
  <si>
    <t>AU-2</t>
  </si>
  <si>
    <t>Audit and Accountability</t>
  </si>
  <si>
    <t>Event Logging</t>
  </si>
  <si>
    <t>SSP: AU-2</t>
  </si>
  <si>
    <t>2026-08-01</t>
  </si>
  <si>
    <t>AU-6</t>
  </si>
  <si>
    <t>Audit Record Review, Analysis, and Reporting</t>
  </si>
  <si>
    <t>SOC</t>
  </si>
  <si>
    <t>SSP: AU-6</t>
  </si>
  <si>
    <t>AU-9</t>
  </si>
  <si>
    <t>Protection of Audit Information</t>
  </si>
  <si>
    <t>Inherited (AWS GovCloud)</t>
  </si>
  <si>
    <t>SSP: AU-9</t>
  </si>
  <si>
    <t>AU-12</t>
  </si>
  <si>
    <t>Audit Record Generation</t>
  </si>
  <si>
    <t>SSP: AU-12</t>
  </si>
  <si>
    <t>CA-2</t>
  </si>
  <si>
    <t>Assessment, Authorization, and Monitoring</t>
  </si>
  <si>
    <t>Control Assessments</t>
  </si>
  <si>
    <t>N/A - assessment plan</t>
  </si>
  <si>
    <t>2026-06-20</t>
  </si>
  <si>
    <t>CA-7</t>
  </si>
  <si>
    <t>Continuous Monitoring</t>
  </si>
  <si>
    <t>ConMon Plan</t>
  </si>
  <si>
    <t>2026-09-01</t>
  </si>
  <si>
    <t>CM-2</t>
  </si>
  <si>
    <t>Configuration Management</t>
  </si>
  <si>
    <t>Baseline Configuration</t>
  </si>
  <si>
    <t>SSP: CM-2</t>
  </si>
  <si>
    <t>2026-07-22</t>
  </si>
  <si>
    <t>CM-3</t>
  </si>
  <si>
    <t>Configuration Change Control</t>
  </si>
  <si>
    <t>Config Change Tracker</t>
  </si>
  <si>
    <t>CM-6</t>
  </si>
  <si>
    <t>Configuration Settings</t>
  </si>
  <si>
    <t>DevSecOps</t>
  </si>
  <si>
    <t>SSP: CM-6</t>
  </si>
  <si>
    <t>CM-8</t>
  </si>
  <si>
    <t>System Component Inventory</t>
  </si>
  <si>
    <t>SSP: CM-8</t>
  </si>
  <si>
    <t>CP-2</t>
  </si>
  <si>
    <t>Contingency Planning</t>
  </si>
  <si>
    <t>Contingency Plan</t>
  </si>
  <si>
    <t>N/A - CP doc</t>
  </si>
  <si>
    <t>2026-04-15</t>
  </si>
  <si>
    <t>CP-9</t>
  </si>
  <si>
    <t>System Backup</t>
  </si>
  <si>
    <t>IA-2</t>
  </si>
  <si>
    <t>Identification and Authentication</t>
  </si>
  <si>
    <t>Identification and Authentication (Org. Users)</t>
  </si>
  <si>
    <t>SSP: IA-2</t>
  </si>
  <si>
    <t>IA-5</t>
  </si>
  <si>
    <t>Authenticator Management</t>
  </si>
  <si>
    <t>SSP: IA-5</t>
  </si>
  <si>
    <t>IR-4</t>
  </si>
  <si>
    <t>Incident Response</t>
  </si>
  <si>
    <t>Incident Handling</t>
  </si>
  <si>
    <t>IR Workflow</t>
  </si>
  <si>
    <t>IR-6</t>
  </si>
  <si>
    <t>Incident Reporting</t>
  </si>
  <si>
    <t>IR-8</t>
  </si>
  <si>
    <t>Incident Response Plan</t>
  </si>
  <si>
    <t>MA-2</t>
  </si>
  <si>
    <t>Maintenance</t>
  </si>
  <si>
    <t>Controlled Maintenance</t>
  </si>
  <si>
    <t>SSP: MA-2</t>
  </si>
  <si>
    <t>2026-05-15</t>
  </si>
  <si>
    <t>MP-6</t>
  </si>
  <si>
    <t>Media Protection</t>
  </si>
  <si>
    <t>Media Sanitization</t>
  </si>
  <si>
    <t>SSP: MP-6</t>
  </si>
  <si>
    <t>PE-3</t>
  </si>
  <si>
    <t>Physical and Environmental Protection</t>
  </si>
  <si>
    <t>Physical Access Control</t>
  </si>
  <si>
    <t>N/A - inherited</t>
  </si>
  <si>
    <t>AWS GovCloud SSP</t>
  </si>
  <si>
    <t>2026-03-01</t>
  </si>
  <si>
    <t>PL-2</t>
  </si>
  <si>
    <t>Planning</t>
  </si>
  <si>
    <t>System Security and Privacy Plans</t>
  </si>
  <si>
    <t>This SSP</t>
  </si>
  <si>
    <t>PS-3</t>
  </si>
  <si>
    <t>Personnel Security</t>
  </si>
  <si>
    <t>Personnel Screening</t>
  </si>
  <si>
    <t>HR/GRC</t>
  </si>
  <si>
    <t>N/A - HR policy</t>
  </si>
  <si>
    <t>PS-8</t>
  </si>
  <si>
    <t>Personnel Sanctions</t>
  </si>
  <si>
    <t>RA-3</t>
  </si>
  <si>
    <t>Risk Assessment</t>
  </si>
  <si>
    <t>Cloud Risk Register</t>
  </si>
  <si>
    <t>RA-5</t>
  </si>
  <si>
    <t>Vulnerability Monitoring and Scanning</t>
  </si>
  <si>
    <t>Vuln. Mgmt Team</t>
  </si>
  <si>
    <t>SSP: RA-5</t>
  </si>
  <si>
    <t>SA-9</t>
  </si>
  <si>
    <t>System and Services Acquisition</t>
  </si>
  <si>
    <t>External System Services</t>
  </si>
  <si>
    <t>Vendor Risk Register</t>
  </si>
  <si>
    <t>2026-06-15</t>
  </si>
  <si>
    <t>SC-7</t>
  </si>
  <si>
    <t>System and Communications Protection</t>
  </si>
  <si>
    <t>Boundary Protection</t>
  </si>
  <si>
    <t>SSP: SC-7</t>
  </si>
  <si>
    <t>2026-08-10</t>
  </si>
  <si>
    <t>SC-8</t>
  </si>
  <si>
    <t>Transmission Confidentiality and Integrity</t>
  </si>
  <si>
    <t>SSP: SC-8</t>
  </si>
  <si>
    <t>SC-13</t>
  </si>
  <si>
    <t>Cryptographic Protection</t>
  </si>
  <si>
    <t>SC-28</t>
  </si>
  <si>
    <t>Protection of Information at Rest</t>
  </si>
  <si>
    <t>SSP: SC-28</t>
  </si>
  <si>
    <t>SI-2</t>
  </si>
  <si>
    <t>System and Information Integrity</t>
  </si>
  <si>
    <t>Flaw Remediation</t>
  </si>
  <si>
    <t>Partially Implemented</t>
  </si>
  <si>
    <t>IT Operations</t>
  </si>
  <si>
    <t>SSP: SI-2</t>
  </si>
  <si>
    <t>2026-09-10</t>
  </si>
  <si>
    <t>SI-4</t>
  </si>
  <si>
    <t>System Monitoring</t>
  </si>
  <si>
    <t>SSP: AU-6 (shared)</t>
  </si>
  <si>
    <t>SI-7</t>
  </si>
  <si>
    <t>Software, Firmware, and Information Integrity</t>
  </si>
  <si>
    <t>Planned</t>
  </si>
  <si>
    <t>POA&amp;M: V-011</t>
  </si>
  <si>
    <t>2026-09-15</t>
  </si>
  <si>
    <t>SR-2</t>
  </si>
  <si>
    <t>Supply Chain Risk Management</t>
  </si>
  <si>
    <t>Supply Chain Risk Management Plan</t>
  </si>
  <si>
    <t>N/A - SCRM plan</t>
  </si>
  <si>
    <t>2026-04-01</t>
  </si>
  <si>
    <t>Legend: white = Implemented | yellow = Partially Implemented | orange = Planned. "Inherited" controls are satisfied by the underlying AWS GovCloud FedRAMP High authorization; "Hybrid" controls are shared between KTech and AWS.</t>
  </si>
  <si>
    <t>Metric</t>
  </si>
  <si>
    <t>Count</t>
  </si>
  <si>
    <t>Formula Basis</t>
  </si>
  <si>
    <t>Total Controls in Baseline</t>
  </si>
  <si>
    <t>% Implemented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</si>
</sst>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i/>
      <sz val="9"/>
      <color rgb="FF59595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0" borderId="0" xfId="0" applyFont="1"/>
    <xf numFmtId="1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1" customWidth="1"/>
    <col min="2" max="2" width="24" customWidth="1"/>
    <col min="3" max="3" width="40" customWidth="1"/>
    <col min="4" max="4" width="16" customWidth="1"/>
    <col min="5" max="5" width="24" customWidth="1"/>
    <col min="6" max="6" width="20" customWidth="1"/>
    <col min="7" max="7" width="18" customWidth="1"/>
    <col min="8" max="8" width="22" customWidth="1"/>
    <col min="9" max="9" width="14" customWidth="1"/>
  </cols>
  <sheetData>
    <row r="1" spans="1:9" ht="31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x14ac:dyDescent="0.35">
      <c r="A3" s="2" t="s">
        <v>18</v>
      </c>
      <c r="B3" s="2" t="s">
        <v>10</v>
      </c>
      <c r="C3" s="2" t="s">
        <v>19</v>
      </c>
      <c r="D3" s="2" t="s">
        <v>12</v>
      </c>
      <c r="E3" s="2" t="s">
        <v>20</v>
      </c>
      <c r="F3" s="2" t="s">
        <v>14</v>
      </c>
      <c r="G3" s="2" t="s">
        <v>21</v>
      </c>
      <c r="H3" s="2" t="s">
        <v>22</v>
      </c>
      <c r="I3" s="2" t="s">
        <v>23</v>
      </c>
    </row>
    <row r="4" spans="1:9" x14ac:dyDescent="0.35">
      <c r="A4" s="2" t="s">
        <v>24</v>
      </c>
      <c r="B4" s="2" t="s">
        <v>10</v>
      </c>
      <c r="C4" s="2" t="s">
        <v>25</v>
      </c>
      <c r="D4" s="2" t="s">
        <v>12</v>
      </c>
      <c r="E4" s="2" t="s">
        <v>20</v>
      </c>
      <c r="F4" s="2" t="s">
        <v>14</v>
      </c>
      <c r="G4" s="2" t="s">
        <v>21</v>
      </c>
      <c r="H4" s="2" t="s">
        <v>26</v>
      </c>
      <c r="I4" s="2" t="s">
        <v>23</v>
      </c>
    </row>
    <row r="5" spans="1:9" x14ac:dyDescent="0.35">
      <c r="A5" s="2" t="s">
        <v>27</v>
      </c>
      <c r="B5" s="2" t="s">
        <v>10</v>
      </c>
      <c r="C5" s="2" t="s">
        <v>28</v>
      </c>
      <c r="D5" s="2" t="s">
        <v>12</v>
      </c>
      <c r="E5" s="2" t="s">
        <v>20</v>
      </c>
      <c r="F5" s="2" t="s">
        <v>14</v>
      </c>
      <c r="G5" s="2" t="s">
        <v>21</v>
      </c>
      <c r="H5" s="2" t="s">
        <v>29</v>
      </c>
      <c r="I5" s="2" t="s">
        <v>23</v>
      </c>
    </row>
    <row r="6" spans="1:9" x14ac:dyDescent="0.35">
      <c r="A6" s="2" t="s">
        <v>30</v>
      </c>
      <c r="B6" s="2" t="s">
        <v>10</v>
      </c>
      <c r="C6" s="2" t="s">
        <v>31</v>
      </c>
      <c r="D6" s="2" t="s">
        <v>12</v>
      </c>
      <c r="E6" s="2" t="s">
        <v>20</v>
      </c>
      <c r="F6" s="2" t="s">
        <v>14</v>
      </c>
      <c r="G6" s="2" t="s">
        <v>21</v>
      </c>
      <c r="H6" s="2" t="s">
        <v>32</v>
      </c>
      <c r="I6" s="2" t="s">
        <v>33</v>
      </c>
    </row>
    <row r="7" spans="1:9" x14ac:dyDescent="0.35">
      <c r="A7" s="2" t="s">
        <v>34</v>
      </c>
      <c r="B7" s="2" t="s">
        <v>10</v>
      </c>
      <c r="C7" s="2" t="s">
        <v>35</v>
      </c>
      <c r="D7" s="2" t="s">
        <v>12</v>
      </c>
      <c r="E7" s="2" t="s">
        <v>36</v>
      </c>
      <c r="F7" s="2" t="s">
        <v>14</v>
      </c>
      <c r="G7" s="2" t="s">
        <v>37</v>
      </c>
      <c r="H7" s="2" t="s">
        <v>38</v>
      </c>
      <c r="I7" s="2" t="s">
        <v>33</v>
      </c>
    </row>
    <row r="8" spans="1:9" x14ac:dyDescent="0.35">
      <c r="A8" s="2" t="s">
        <v>39</v>
      </c>
      <c r="B8" s="2" t="s">
        <v>40</v>
      </c>
      <c r="C8" s="2" t="s">
        <v>41</v>
      </c>
      <c r="D8" s="2" t="s">
        <v>12</v>
      </c>
      <c r="E8" s="2" t="s">
        <v>13</v>
      </c>
      <c r="F8" s="2" t="s">
        <v>14</v>
      </c>
      <c r="G8" s="2" t="s">
        <v>42</v>
      </c>
      <c r="H8" s="2" t="s">
        <v>43</v>
      </c>
      <c r="I8" s="2" t="s">
        <v>44</v>
      </c>
    </row>
    <row r="9" spans="1:9" x14ac:dyDescent="0.35">
      <c r="A9" s="2" t="s">
        <v>45</v>
      </c>
      <c r="B9" s="2" t="s">
        <v>46</v>
      </c>
      <c r="C9" s="2" t="s">
        <v>47</v>
      </c>
      <c r="D9" s="2" t="s">
        <v>12</v>
      </c>
      <c r="E9" s="2" t="s">
        <v>20</v>
      </c>
      <c r="F9" s="2" t="s">
        <v>14</v>
      </c>
      <c r="G9" s="2" t="s">
        <v>37</v>
      </c>
      <c r="H9" s="2" t="s">
        <v>48</v>
      </c>
      <c r="I9" s="2" t="s">
        <v>49</v>
      </c>
    </row>
    <row r="10" spans="1:9" x14ac:dyDescent="0.35">
      <c r="A10" s="2" t="s">
        <v>50</v>
      </c>
      <c r="B10" s="2" t="s">
        <v>46</v>
      </c>
      <c r="C10" s="2" t="s">
        <v>51</v>
      </c>
      <c r="D10" s="2" t="s">
        <v>12</v>
      </c>
      <c r="E10" s="2" t="s">
        <v>20</v>
      </c>
      <c r="F10" s="2" t="s">
        <v>14</v>
      </c>
      <c r="G10" s="2" t="s">
        <v>52</v>
      </c>
      <c r="H10" s="2" t="s">
        <v>53</v>
      </c>
      <c r="I10" s="2" t="s">
        <v>49</v>
      </c>
    </row>
    <row r="11" spans="1:9" x14ac:dyDescent="0.35">
      <c r="A11" s="2" t="s">
        <v>54</v>
      </c>
      <c r="B11" s="2" t="s">
        <v>46</v>
      </c>
      <c r="C11" s="2" t="s">
        <v>55</v>
      </c>
      <c r="D11" s="2" t="s">
        <v>12</v>
      </c>
      <c r="E11" s="2" t="s">
        <v>56</v>
      </c>
      <c r="F11" s="2" t="s">
        <v>14</v>
      </c>
      <c r="G11" s="2" t="s">
        <v>37</v>
      </c>
      <c r="H11" s="2" t="s">
        <v>57</v>
      </c>
      <c r="I11" s="2" t="s">
        <v>49</v>
      </c>
    </row>
    <row r="12" spans="1:9" x14ac:dyDescent="0.35">
      <c r="A12" s="2" t="s">
        <v>58</v>
      </c>
      <c r="B12" s="2" t="s">
        <v>46</v>
      </c>
      <c r="C12" s="2" t="s">
        <v>59</v>
      </c>
      <c r="D12" s="2" t="s">
        <v>12</v>
      </c>
      <c r="E12" s="2" t="s">
        <v>20</v>
      </c>
      <c r="F12" s="2" t="s">
        <v>14</v>
      </c>
      <c r="G12" s="2" t="s">
        <v>37</v>
      </c>
      <c r="H12" s="2" t="s">
        <v>60</v>
      </c>
      <c r="I12" s="2" t="s">
        <v>49</v>
      </c>
    </row>
    <row r="13" spans="1:9" x14ac:dyDescent="0.35">
      <c r="A13" s="2" t="s">
        <v>61</v>
      </c>
      <c r="B13" s="2" t="s">
        <v>62</v>
      </c>
      <c r="C13" s="2" t="s">
        <v>63</v>
      </c>
      <c r="D13" s="2" t="s">
        <v>12</v>
      </c>
      <c r="E13" s="2" t="s">
        <v>13</v>
      </c>
      <c r="F13" s="2" t="s">
        <v>14</v>
      </c>
      <c r="G13" s="2" t="s">
        <v>42</v>
      </c>
      <c r="H13" s="2" t="s">
        <v>64</v>
      </c>
      <c r="I13" s="2" t="s">
        <v>65</v>
      </c>
    </row>
    <row r="14" spans="1:9" x14ac:dyDescent="0.35">
      <c r="A14" s="2" t="s">
        <v>66</v>
      </c>
      <c r="B14" s="2" t="s">
        <v>62</v>
      </c>
      <c r="C14" s="2" t="s">
        <v>67</v>
      </c>
      <c r="D14" s="2" t="s">
        <v>12</v>
      </c>
      <c r="E14" s="2" t="s">
        <v>20</v>
      </c>
      <c r="F14" s="2" t="s">
        <v>14</v>
      </c>
      <c r="G14" s="2" t="s">
        <v>42</v>
      </c>
      <c r="H14" s="2" t="s">
        <v>68</v>
      </c>
      <c r="I14" s="2" t="s">
        <v>69</v>
      </c>
    </row>
    <row r="15" spans="1:9" x14ac:dyDescent="0.35">
      <c r="A15" s="2" t="s">
        <v>70</v>
      </c>
      <c r="B15" s="2" t="s">
        <v>71</v>
      </c>
      <c r="C15" s="2" t="s">
        <v>72</v>
      </c>
      <c r="D15" s="2" t="s">
        <v>12</v>
      </c>
      <c r="E15" s="2" t="s">
        <v>20</v>
      </c>
      <c r="F15" s="2" t="s">
        <v>14</v>
      </c>
      <c r="G15" s="2" t="s">
        <v>37</v>
      </c>
      <c r="H15" s="2" t="s">
        <v>73</v>
      </c>
      <c r="I15" s="2" t="s">
        <v>74</v>
      </c>
    </row>
    <row r="16" spans="1:9" x14ac:dyDescent="0.35">
      <c r="A16" s="2" t="s">
        <v>75</v>
      </c>
      <c r="B16" s="2" t="s">
        <v>71</v>
      </c>
      <c r="C16" s="2" t="s">
        <v>76</v>
      </c>
      <c r="D16" s="2" t="s">
        <v>12</v>
      </c>
      <c r="E16" s="2" t="s">
        <v>20</v>
      </c>
      <c r="F16" s="2" t="s">
        <v>14</v>
      </c>
      <c r="G16" s="2" t="s">
        <v>37</v>
      </c>
      <c r="H16" s="2" t="s">
        <v>77</v>
      </c>
      <c r="I16" s="2" t="s">
        <v>74</v>
      </c>
    </row>
    <row r="17" spans="1:9" x14ac:dyDescent="0.35">
      <c r="A17" s="2" t="s">
        <v>78</v>
      </c>
      <c r="B17" s="2" t="s">
        <v>71</v>
      </c>
      <c r="C17" s="2" t="s">
        <v>79</v>
      </c>
      <c r="D17" s="2" t="s">
        <v>12</v>
      </c>
      <c r="E17" s="2" t="s">
        <v>20</v>
      </c>
      <c r="F17" s="2" t="s">
        <v>14</v>
      </c>
      <c r="G17" s="2" t="s">
        <v>80</v>
      </c>
      <c r="H17" s="2" t="s">
        <v>81</v>
      </c>
      <c r="I17" s="2" t="s">
        <v>74</v>
      </c>
    </row>
    <row r="18" spans="1:9" x14ac:dyDescent="0.35">
      <c r="A18" s="2" t="s">
        <v>82</v>
      </c>
      <c r="B18" s="2" t="s">
        <v>71</v>
      </c>
      <c r="C18" s="2" t="s">
        <v>83</v>
      </c>
      <c r="D18" s="2" t="s">
        <v>12</v>
      </c>
      <c r="E18" s="2" t="s">
        <v>20</v>
      </c>
      <c r="F18" s="2" t="s">
        <v>14</v>
      </c>
      <c r="G18" s="2" t="s">
        <v>37</v>
      </c>
      <c r="H18" s="2" t="s">
        <v>84</v>
      </c>
      <c r="I18" s="2" t="s">
        <v>74</v>
      </c>
    </row>
    <row r="19" spans="1:9" x14ac:dyDescent="0.35">
      <c r="A19" s="2" t="s">
        <v>85</v>
      </c>
      <c r="B19" s="2" t="s">
        <v>86</v>
      </c>
      <c r="C19" s="2" t="s">
        <v>87</v>
      </c>
      <c r="D19" s="2" t="s">
        <v>12</v>
      </c>
      <c r="E19" s="2" t="s">
        <v>20</v>
      </c>
      <c r="F19" s="2" t="s">
        <v>14</v>
      </c>
      <c r="G19" s="2" t="s">
        <v>37</v>
      </c>
      <c r="H19" s="2" t="s">
        <v>88</v>
      </c>
      <c r="I19" s="2" t="s">
        <v>89</v>
      </c>
    </row>
    <row r="20" spans="1:9" x14ac:dyDescent="0.35">
      <c r="A20" s="2" t="s">
        <v>90</v>
      </c>
      <c r="B20" s="2" t="s">
        <v>86</v>
      </c>
      <c r="C20" s="2" t="s">
        <v>91</v>
      </c>
      <c r="D20" s="2" t="s">
        <v>12</v>
      </c>
      <c r="E20" s="2" t="s">
        <v>36</v>
      </c>
      <c r="F20" s="2" t="s">
        <v>14</v>
      </c>
      <c r="G20" s="2" t="s">
        <v>37</v>
      </c>
      <c r="H20" s="2" t="s">
        <v>88</v>
      </c>
      <c r="I20" s="2" t="s">
        <v>89</v>
      </c>
    </row>
    <row r="21" spans="1:9" x14ac:dyDescent="0.35">
      <c r="A21" s="2" t="s">
        <v>92</v>
      </c>
      <c r="B21" s="2" t="s">
        <v>93</v>
      </c>
      <c r="C21" s="2" t="s">
        <v>94</v>
      </c>
      <c r="D21" s="2" t="s">
        <v>12</v>
      </c>
      <c r="E21" s="2" t="s">
        <v>20</v>
      </c>
      <c r="F21" s="2" t="s">
        <v>14</v>
      </c>
      <c r="G21" s="2" t="s">
        <v>21</v>
      </c>
      <c r="H21" s="2" t="s">
        <v>95</v>
      </c>
      <c r="I21" s="2" t="s">
        <v>23</v>
      </c>
    </row>
    <row r="22" spans="1:9" x14ac:dyDescent="0.35">
      <c r="A22" s="2" t="s">
        <v>96</v>
      </c>
      <c r="B22" s="2" t="s">
        <v>93</v>
      </c>
      <c r="C22" s="2" t="s">
        <v>97</v>
      </c>
      <c r="D22" s="2" t="s">
        <v>12</v>
      </c>
      <c r="E22" s="2" t="s">
        <v>20</v>
      </c>
      <c r="F22" s="2" t="s">
        <v>14</v>
      </c>
      <c r="G22" s="2" t="s">
        <v>21</v>
      </c>
      <c r="H22" s="2" t="s">
        <v>98</v>
      </c>
      <c r="I22" s="2" t="s">
        <v>23</v>
      </c>
    </row>
    <row r="23" spans="1:9" x14ac:dyDescent="0.35">
      <c r="A23" s="2" t="s">
        <v>99</v>
      </c>
      <c r="B23" s="2" t="s">
        <v>100</v>
      </c>
      <c r="C23" s="2" t="s">
        <v>101</v>
      </c>
      <c r="D23" s="2" t="s">
        <v>12</v>
      </c>
      <c r="E23" s="2" t="s">
        <v>20</v>
      </c>
      <c r="F23" s="2" t="s">
        <v>14</v>
      </c>
      <c r="G23" s="2" t="s">
        <v>52</v>
      </c>
      <c r="H23" s="2" t="s">
        <v>102</v>
      </c>
      <c r="I23" s="2" t="s">
        <v>17</v>
      </c>
    </row>
    <row r="24" spans="1:9" x14ac:dyDescent="0.35">
      <c r="A24" s="2" t="s">
        <v>103</v>
      </c>
      <c r="B24" s="2" t="s">
        <v>100</v>
      </c>
      <c r="C24" s="2" t="s">
        <v>104</v>
      </c>
      <c r="D24" s="2" t="s">
        <v>12</v>
      </c>
      <c r="E24" s="2" t="s">
        <v>20</v>
      </c>
      <c r="F24" s="2" t="s">
        <v>14</v>
      </c>
      <c r="G24" s="2" t="s">
        <v>15</v>
      </c>
      <c r="H24" s="2" t="s">
        <v>102</v>
      </c>
      <c r="I24" s="2" t="s">
        <v>17</v>
      </c>
    </row>
    <row r="25" spans="1:9" x14ac:dyDescent="0.35">
      <c r="A25" s="2" t="s">
        <v>105</v>
      </c>
      <c r="B25" s="2" t="s">
        <v>100</v>
      </c>
      <c r="C25" s="2" t="s">
        <v>106</v>
      </c>
      <c r="D25" s="2" t="s">
        <v>12</v>
      </c>
      <c r="E25" s="2" t="s">
        <v>20</v>
      </c>
      <c r="F25" s="2" t="s">
        <v>14</v>
      </c>
      <c r="G25" s="2" t="s">
        <v>15</v>
      </c>
      <c r="H25" s="2" t="s">
        <v>102</v>
      </c>
      <c r="I25" s="2" t="s">
        <v>17</v>
      </c>
    </row>
    <row r="26" spans="1:9" x14ac:dyDescent="0.35">
      <c r="A26" s="2" t="s">
        <v>107</v>
      </c>
      <c r="B26" s="2" t="s">
        <v>108</v>
      </c>
      <c r="C26" s="2" t="s">
        <v>109</v>
      </c>
      <c r="D26" s="2" t="s">
        <v>12</v>
      </c>
      <c r="E26" s="2" t="s">
        <v>36</v>
      </c>
      <c r="F26" s="2" t="s">
        <v>14</v>
      </c>
      <c r="G26" s="2" t="s">
        <v>37</v>
      </c>
      <c r="H26" s="2" t="s">
        <v>110</v>
      </c>
      <c r="I26" s="2" t="s">
        <v>111</v>
      </c>
    </row>
    <row r="27" spans="1:9" x14ac:dyDescent="0.35">
      <c r="A27" s="2" t="s">
        <v>112</v>
      </c>
      <c r="B27" s="2" t="s">
        <v>113</v>
      </c>
      <c r="C27" s="2" t="s">
        <v>114</v>
      </c>
      <c r="D27" s="2" t="s">
        <v>12</v>
      </c>
      <c r="E27" s="2" t="s">
        <v>56</v>
      </c>
      <c r="F27" s="2" t="s">
        <v>14</v>
      </c>
      <c r="G27" s="2" t="s">
        <v>37</v>
      </c>
      <c r="H27" s="2" t="s">
        <v>115</v>
      </c>
      <c r="I27" s="2" t="s">
        <v>111</v>
      </c>
    </row>
    <row r="28" spans="1:9" x14ac:dyDescent="0.35">
      <c r="A28" s="2" t="s">
        <v>116</v>
      </c>
      <c r="B28" s="2" t="s">
        <v>117</v>
      </c>
      <c r="C28" s="2" t="s">
        <v>118</v>
      </c>
      <c r="D28" s="2" t="s">
        <v>12</v>
      </c>
      <c r="E28" s="2" t="s">
        <v>56</v>
      </c>
      <c r="F28" s="2" t="s">
        <v>14</v>
      </c>
      <c r="G28" s="2" t="s">
        <v>119</v>
      </c>
      <c r="H28" s="2" t="s">
        <v>120</v>
      </c>
      <c r="I28" s="2" t="s">
        <v>121</v>
      </c>
    </row>
    <row r="29" spans="1:9" x14ac:dyDescent="0.35">
      <c r="A29" s="2" t="s">
        <v>122</v>
      </c>
      <c r="B29" s="2" t="s">
        <v>123</v>
      </c>
      <c r="C29" s="2" t="s">
        <v>124</v>
      </c>
      <c r="D29" s="2" t="s">
        <v>12</v>
      </c>
      <c r="E29" s="2" t="s">
        <v>20</v>
      </c>
      <c r="F29" s="2" t="s">
        <v>14</v>
      </c>
      <c r="G29" s="2" t="s">
        <v>15</v>
      </c>
      <c r="H29" s="2" t="s">
        <v>125</v>
      </c>
      <c r="I29" s="2" t="s">
        <v>69</v>
      </c>
    </row>
    <row r="30" spans="1:9" x14ac:dyDescent="0.35">
      <c r="A30" s="2" t="s">
        <v>126</v>
      </c>
      <c r="B30" s="2" t="s">
        <v>127</v>
      </c>
      <c r="C30" s="2" t="s">
        <v>128</v>
      </c>
      <c r="D30" s="2" t="s">
        <v>12</v>
      </c>
      <c r="E30" s="2" t="s">
        <v>13</v>
      </c>
      <c r="F30" s="2" t="s">
        <v>14</v>
      </c>
      <c r="G30" s="2" t="s">
        <v>129</v>
      </c>
      <c r="H30" s="2" t="s">
        <v>130</v>
      </c>
      <c r="I30" s="2" t="s">
        <v>44</v>
      </c>
    </row>
    <row r="31" spans="1:9" x14ac:dyDescent="0.35">
      <c r="A31" s="2" t="s">
        <v>131</v>
      </c>
      <c r="B31" s="2" t="s">
        <v>127</v>
      </c>
      <c r="C31" s="2" t="s">
        <v>132</v>
      </c>
      <c r="D31" s="2" t="s">
        <v>12</v>
      </c>
      <c r="E31" s="2" t="s">
        <v>13</v>
      </c>
      <c r="F31" s="2" t="s">
        <v>14</v>
      </c>
      <c r="G31" s="2" t="s">
        <v>129</v>
      </c>
      <c r="H31" s="2" t="s">
        <v>130</v>
      </c>
      <c r="I31" s="2" t="s">
        <v>44</v>
      </c>
    </row>
    <row r="32" spans="1:9" x14ac:dyDescent="0.35">
      <c r="A32" s="2" t="s">
        <v>133</v>
      </c>
      <c r="B32" s="2" t="s">
        <v>134</v>
      </c>
      <c r="C32" s="2" t="s">
        <v>134</v>
      </c>
      <c r="D32" s="2" t="s">
        <v>12</v>
      </c>
      <c r="E32" s="2" t="s">
        <v>20</v>
      </c>
      <c r="F32" s="2" t="s">
        <v>14</v>
      </c>
      <c r="G32" s="2" t="s">
        <v>42</v>
      </c>
      <c r="H32" s="2" t="s">
        <v>135</v>
      </c>
      <c r="I32" s="2" t="s">
        <v>49</v>
      </c>
    </row>
    <row r="33" spans="1:9" x14ac:dyDescent="0.35">
      <c r="A33" s="2" t="s">
        <v>136</v>
      </c>
      <c r="B33" s="2" t="s">
        <v>134</v>
      </c>
      <c r="C33" s="2" t="s">
        <v>137</v>
      </c>
      <c r="D33" s="2" t="s">
        <v>12</v>
      </c>
      <c r="E33" s="2" t="s">
        <v>20</v>
      </c>
      <c r="F33" s="2" t="s">
        <v>14</v>
      </c>
      <c r="G33" s="2" t="s">
        <v>138</v>
      </c>
      <c r="H33" s="2" t="s">
        <v>139</v>
      </c>
      <c r="I33" s="2" t="s">
        <v>69</v>
      </c>
    </row>
    <row r="34" spans="1:9" x14ac:dyDescent="0.35">
      <c r="A34" s="2" t="s">
        <v>140</v>
      </c>
      <c r="B34" s="2" t="s">
        <v>141</v>
      </c>
      <c r="C34" s="2" t="s">
        <v>142</v>
      </c>
      <c r="D34" s="2" t="s">
        <v>12</v>
      </c>
      <c r="E34" s="2" t="s">
        <v>20</v>
      </c>
      <c r="F34" s="2" t="s">
        <v>14</v>
      </c>
      <c r="G34" s="2" t="s">
        <v>42</v>
      </c>
      <c r="H34" s="2" t="s">
        <v>143</v>
      </c>
      <c r="I34" s="2" t="s">
        <v>144</v>
      </c>
    </row>
    <row r="35" spans="1:9" x14ac:dyDescent="0.35">
      <c r="A35" s="2" t="s">
        <v>145</v>
      </c>
      <c r="B35" s="2" t="s">
        <v>146</v>
      </c>
      <c r="C35" s="2" t="s">
        <v>147</v>
      </c>
      <c r="D35" s="2" t="s">
        <v>12</v>
      </c>
      <c r="E35" s="2" t="s">
        <v>20</v>
      </c>
      <c r="F35" s="2" t="s">
        <v>14</v>
      </c>
      <c r="G35" s="2" t="s">
        <v>37</v>
      </c>
      <c r="H35" s="2" t="s">
        <v>148</v>
      </c>
      <c r="I35" s="2" t="s">
        <v>149</v>
      </c>
    </row>
    <row r="36" spans="1:9" x14ac:dyDescent="0.35">
      <c r="A36" s="2" t="s">
        <v>150</v>
      </c>
      <c r="B36" s="2" t="s">
        <v>146</v>
      </c>
      <c r="C36" s="2" t="s">
        <v>151</v>
      </c>
      <c r="D36" s="2" t="s">
        <v>12</v>
      </c>
      <c r="E36" s="2" t="s">
        <v>20</v>
      </c>
      <c r="F36" s="2" t="s">
        <v>14</v>
      </c>
      <c r="G36" s="2" t="s">
        <v>37</v>
      </c>
      <c r="H36" s="2" t="s">
        <v>152</v>
      </c>
      <c r="I36" s="2" t="s">
        <v>149</v>
      </c>
    </row>
    <row r="37" spans="1:9" x14ac:dyDescent="0.35">
      <c r="A37" s="2" t="s">
        <v>153</v>
      </c>
      <c r="B37" s="2" t="s">
        <v>146</v>
      </c>
      <c r="C37" s="2" t="s">
        <v>154</v>
      </c>
      <c r="D37" s="2" t="s">
        <v>12</v>
      </c>
      <c r="E37" s="2" t="s">
        <v>20</v>
      </c>
      <c r="F37" s="2" t="s">
        <v>14</v>
      </c>
      <c r="G37" s="2" t="s">
        <v>37</v>
      </c>
      <c r="H37" s="2" t="s">
        <v>152</v>
      </c>
      <c r="I37" s="2" t="s">
        <v>149</v>
      </c>
    </row>
    <row r="38" spans="1:9" x14ac:dyDescent="0.35">
      <c r="A38" s="2" t="s">
        <v>155</v>
      </c>
      <c r="B38" s="2" t="s">
        <v>146</v>
      </c>
      <c r="C38" s="2" t="s">
        <v>156</v>
      </c>
      <c r="D38" s="2" t="s">
        <v>12</v>
      </c>
      <c r="E38" s="2" t="s">
        <v>20</v>
      </c>
      <c r="F38" s="2" t="s">
        <v>14</v>
      </c>
      <c r="G38" s="2" t="s">
        <v>37</v>
      </c>
      <c r="H38" s="2" t="s">
        <v>157</v>
      </c>
      <c r="I38" s="2" t="s">
        <v>149</v>
      </c>
    </row>
    <row r="39" spans="1:9" x14ac:dyDescent="0.35">
      <c r="A39" s="3" t="s">
        <v>158</v>
      </c>
      <c r="B39" s="3" t="s">
        <v>159</v>
      </c>
      <c r="C39" s="3" t="s">
        <v>160</v>
      </c>
      <c r="D39" s="3" t="s">
        <v>12</v>
      </c>
      <c r="E39" s="3" t="s">
        <v>20</v>
      </c>
      <c r="F39" s="3" t="s">
        <v>161</v>
      </c>
      <c r="G39" s="3" t="s">
        <v>162</v>
      </c>
      <c r="H39" s="3" t="s">
        <v>163</v>
      </c>
      <c r="I39" s="3" t="s">
        <v>164</v>
      </c>
    </row>
    <row r="40" spans="1:9" x14ac:dyDescent="0.35">
      <c r="A40" s="2" t="s">
        <v>165</v>
      </c>
      <c r="B40" s="2" t="s">
        <v>159</v>
      </c>
      <c r="C40" s="2" t="s">
        <v>166</v>
      </c>
      <c r="D40" s="2" t="s">
        <v>12</v>
      </c>
      <c r="E40" s="2" t="s">
        <v>20</v>
      </c>
      <c r="F40" s="2" t="s">
        <v>14</v>
      </c>
      <c r="G40" s="2" t="s">
        <v>52</v>
      </c>
      <c r="H40" s="2" t="s">
        <v>167</v>
      </c>
      <c r="I40" s="2" t="s">
        <v>49</v>
      </c>
    </row>
    <row r="41" spans="1:9" x14ac:dyDescent="0.35">
      <c r="A41" s="4" t="s">
        <v>168</v>
      </c>
      <c r="B41" s="4" t="s">
        <v>159</v>
      </c>
      <c r="C41" s="4" t="s">
        <v>169</v>
      </c>
      <c r="D41" s="4" t="s">
        <v>12</v>
      </c>
      <c r="E41" s="4" t="s">
        <v>20</v>
      </c>
      <c r="F41" s="4" t="s">
        <v>170</v>
      </c>
      <c r="G41" s="4" t="s">
        <v>37</v>
      </c>
      <c r="H41" s="4" t="s">
        <v>171</v>
      </c>
      <c r="I41" s="4" t="s">
        <v>172</v>
      </c>
    </row>
    <row r="42" spans="1:9" x14ac:dyDescent="0.35">
      <c r="A42" s="2" t="s">
        <v>173</v>
      </c>
      <c r="B42" s="2" t="s">
        <v>174</v>
      </c>
      <c r="C42" s="2" t="s">
        <v>175</v>
      </c>
      <c r="D42" s="2" t="s">
        <v>12</v>
      </c>
      <c r="E42" s="2" t="s">
        <v>13</v>
      </c>
      <c r="F42" s="2" t="s">
        <v>14</v>
      </c>
      <c r="G42" s="2" t="s">
        <v>42</v>
      </c>
      <c r="H42" s="2" t="s">
        <v>176</v>
      </c>
      <c r="I42" s="2" t="s">
        <v>177</v>
      </c>
    </row>
    <row r="44" spans="1:9" x14ac:dyDescent="0.35">
      <c r="B44" s="5" t="s">
        <v>178</v>
      </c>
    </row>
  </sheetData>
  <autoFilter ref="A1:I42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zoomScaleNormal="100" workbookViewId="0"/>
  </sheetViews>
  <sheetFormatPr defaultColWidth="8.6328125" defaultRowHeight="14.5" x14ac:dyDescent="0.35"/>
  <cols>
    <col min="1" max="1" width="28" customWidth="1"/>
    <col min="2" max="2" width="14" customWidth="1"/>
    <col min="3" max="3" width="30" customWidth="1"/>
  </cols>
  <sheetData>
    <row r="1" spans="1:3" ht="31.5" customHeight="1" x14ac:dyDescent="0.35">
      <c r="A1" s="1" t="s">
        <v>179</v>
      </c>
      <c r="B1" s="1" t="s">
        <v>180</v>
      </c>
      <c r="C1" s="1" t="s">
        <v>181</v>
      </c>
    </row>
    <row r="2" spans="1:3" x14ac:dyDescent="0.35">
      <c r="A2" s="2" t="s">
        <v>182</v>
      </c>
      <c r="B2" s="6">
        <f>COUNTA('Control Matrix'!A2:A1000)</f>
        <v>41</v>
      </c>
      <c r="C2" s="2"/>
    </row>
    <row r="3" spans="1:3" x14ac:dyDescent="0.35">
      <c r="A3" s="2" t="s">
        <v>14</v>
      </c>
      <c r="B3" s="6">
        <f>COUNTIF('Control Matrix'!F2:F1000,"Implemented")</f>
        <v>39</v>
      </c>
      <c r="C3" s="2"/>
    </row>
    <row r="4" spans="1:3" x14ac:dyDescent="0.35">
      <c r="A4" s="2" t="s">
        <v>161</v>
      </c>
      <c r="B4" s="6">
        <f>COUNTIF('Control Matrix'!F2:F1000,"Partially Implemented")</f>
        <v>1</v>
      </c>
      <c r="C4" s="2"/>
    </row>
    <row r="5" spans="1:3" x14ac:dyDescent="0.35">
      <c r="A5" s="2" t="s">
        <v>170</v>
      </c>
      <c r="B5" s="6">
        <f>COUNTIF('Control Matrix'!F2:F1000,"Planned")</f>
        <v>1</v>
      </c>
      <c r="C5" s="2"/>
    </row>
    <row r="6" spans="1:3" x14ac:dyDescent="0.35">
      <c r="A6" s="2" t="s">
        <v>183</v>
      </c>
      <c r="B6" s="7">
        <f>B3/B2</f>
        <v>0.95121951219512191</v>
      </c>
      <c r="C6" s="2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 Matrix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Julius Agyemang</dc:creator>
  <dc:description/>
  <cp:lastModifiedBy>J A</cp:lastModifiedBy>
  <cp:revision>0</cp:revision>
  <dcterms:created xsi:type="dcterms:W3CDTF">2026-09-21T16:21:41Z</dcterms:created>
  <dcterms:modified xsi:type="dcterms:W3CDTF">2026-09-21T16:50:22Z</dcterms:modified>
  <dc:language>en-US</dc:language>
</cp:coreProperties>
</file>
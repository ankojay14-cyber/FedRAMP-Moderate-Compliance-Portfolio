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3-SSP/"/>
    </mc:Choice>
  </mc:AlternateContent>
  <xr:revisionPtr revIDLastSave="1" documentId="11_1B58B75DDD237B0DD81DC4F37734402B681E427E" xr6:coauthVersionLast="47" xr6:coauthVersionMax="47" xr10:uidLastSave="{611043D4-E4AC-4EDA-B711-5DDD222DE63D}"/>
  <bookViews>
    <workbookView xWindow="-110" yWindow="-110" windowWidth="19420" windowHeight="10300" tabRatio="500" xr2:uid="{00000000-000D-0000-FFFF-FFFF00000000}"/>
  </bookViews>
  <sheets>
    <sheet name="Evidence Matrix" sheetId="1" r:id="rId1"/>
  </sheets>
  <definedNames>
    <definedName name="_xlnm._FilterDatabase" localSheetId="0" hidden="1">'Evidence Matrix'!$A$1:$I$16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H13" i="1"/>
  <c r="I13" i="1" s="1"/>
  <c r="I12" i="1"/>
  <c r="H12" i="1"/>
  <c r="H11" i="1"/>
  <c r="I11" i="1" s="1"/>
  <c r="H10" i="1"/>
  <c r="I10" i="1" s="1"/>
  <c r="I9" i="1"/>
  <c r="H9" i="1"/>
  <c r="H8" i="1"/>
  <c r="I8" i="1" s="1"/>
  <c r="H7" i="1"/>
  <c r="I7" i="1" s="1"/>
  <c r="I6" i="1"/>
  <c r="H6" i="1"/>
  <c r="H5" i="1"/>
  <c r="I5" i="1" s="1"/>
  <c r="H4" i="1"/>
  <c r="I4" i="1" s="1"/>
  <c r="I3" i="1"/>
  <c r="H3" i="1"/>
  <c r="I2" i="1"/>
  <c r="H2" i="1"/>
</calcChain>
</file>

<file path=xl/sharedStrings.xml><?xml version="1.0" encoding="utf-8"?>
<sst xmlns="http://schemas.openxmlformats.org/spreadsheetml/2006/main" count="88" uniqueCount="57">
  <si>
    <t>Control ID</t>
  </si>
  <si>
    <t>Evidence Artifact</t>
  </si>
  <si>
    <t>Evidence Type</t>
  </si>
  <si>
    <t>Owner</t>
  </si>
  <si>
    <t>Status</t>
  </si>
  <si>
    <t>Last Updated</t>
  </si>
  <si>
    <t>Refresh Cycle (Days)</t>
  </si>
  <si>
    <t>Next Refresh Due</t>
  </si>
  <si>
    <t>Days Until Refresh</t>
  </si>
  <si>
    <t>AC-2</t>
  </si>
  <si>
    <t>Entra ID account list export + SCIM provisioning log</t>
  </si>
  <si>
    <t>System Export</t>
  </si>
  <si>
    <t>IAM Team</t>
  </si>
  <si>
    <t>Complete</t>
  </si>
  <si>
    <t>AC-6</t>
  </si>
  <si>
    <t>PIM role assignment report</t>
  </si>
  <si>
    <t>IA-2</t>
  </si>
  <si>
    <t>Conditional Access policy export + MFA enrollment report</t>
  </si>
  <si>
    <t>AU-2</t>
  </si>
  <si>
    <t>Logging configuration export (CloudTrail, VPC Flow Logs)</t>
  </si>
  <si>
    <t>Configuration Export</t>
  </si>
  <si>
    <t>Cloud Engineering</t>
  </si>
  <si>
    <t>AU-6</t>
  </si>
  <si>
    <t>Sentinel analytics rule list + weekly audit review summary</t>
  </si>
  <si>
    <t>Report</t>
  </si>
  <si>
    <t>SOC</t>
  </si>
  <si>
    <t>CM-2</t>
  </si>
  <si>
    <t>Terraform baseline repository export + AWS Config compliance report</t>
  </si>
  <si>
    <t>CM-6</t>
  </si>
  <si>
    <t>CIS Benchmark checklist mapping + OPA policy repository</t>
  </si>
  <si>
    <t>Documentation</t>
  </si>
  <si>
    <t>DevSecOps</t>
  </si>
  <si>
    <t>RA-5</t>
  </si>
  <si>
    <t>Vulnerability scan reports (sanitized)</t>
  </si>
  <si>
    <t>Scan Report</t>
  </si>
  <si>
    <t>Vuln. Mgmt Team</t>
  </si>
  <si>
    <t>SC-7</t>
  </si>
  <si>
    <t>Network/boundary diagram + security group export</t>
  </si>
  <si>
    <t>Diagram/Export</t>
  </si>
  <si>
    <t>SC-8</t>
  </si>
  <si>
    <t>TLS/cipher scan report + certificate inventory</t>
  </si>
  <si>
    <t>SC-28</t>
  </si>
  <si>
    <t>KMS key policy export + encryption-at-rest configuration report</t>
  </si>
  <si>
    <t>SI-2</t>
  </si>
  <si>
    <t>Patch compliance report</t>
  </si>
  <si>
    <t>IT Operations</t>
  </si>
  <si>
    <t>In Progress</t>
  </si>
  <si>
    <t>SI-7</t>
  </si>
  <si>
    <t>Software/firmware integrity monitoring configuration</t>
  </si>
  <si>
    <t>Gap</t>
  </si>
  <si>
    <t>N/A</t>
  </si>
  <si>
    <t>IR-4</t>
  </si>
  <si>
    <t>Incident Response Plan + tabletop exercise record</t>
  </si>
  <si>
    <t>ISSO</t>
  </si>
  <si>
    <t>CP-9</t>
  </si>
  <si>
    <t>Backup job logs + last restoration test record</t>
  </si>
  <si>
    <t>Status: Complete = evidence current and on file | In Progress = being refreshed | Gap = no current evidence, flagged for remediation before next 3PAO cycle. "Days Until Refresh" computed against snapshot date 2026-09-21.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</si>
</sst>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42" customWidth="1"/>
    <col min="3" max="4" width="18" customWidth="1"/>
    <col min="5" max="6" width="14" customWidth="1"/>
    <col min="7" max="7" width="18" customWidth="1"/>
    <col min="8" max="8" width="16" customWidth="1"/>
    <col min="9" max="9" width="18" customWidth="1"/>
  </cols>
  <sheetData>
    <row r="1" spans="1:9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46266</v>
      </c>
      <c r="G2" s="2">
        <v>30</v>
      </c>
      <c r="H2" s="3">
        <f t="shared" ref="H2:H13" si="0">F2+G2</f>
        <v>46296</v>
      </c>
      <c r="I2" s="2">
        <f t="shared" ref="I2:I13" si="1">H2-DATE(2026,9,21)</f>
        <v>10</v>
      </c>
    </row>
    <row r="3" spans="1:9" x14ac:dyDescent="0.35">
      <c r="A3" s="2" t="s">
        <v>14</v>
      </c>
      <c r="B3" s="2" t="s">
        <v>15</v>
      </c>
      <c r="C3" s="2" t="s">
        <v>11</v>
      </c>
      <c r="D3" s="2" t="s">
        <v>12</v>
      </c>
      <c r="E3" s="2" t="s">
        <v>13</v>
      </c>
      <c r="F3" s="3">
        <v>46266</v>
      </c>
      <c r="G3" s="2">
        <v>30</v>
      </c>
      <c r="H3" s="3">
        <f t="shared" si="0"/>
        <v>46296</v>
      </c>
      <c r="I3" s="2">
        <f t="shared" si="1"/>
        <v>10</v>
      </c>
    </row>
    <row r="4" spans="1:9" x14ac:dyDescent="0.35">
      <c r="A4" s="2" t="s">
        <v>16</v>
      </c>
      <c r="B4" s="2" t="s">
        <v>17</v>
      </c>
      <c r="C4" s="2" t="s">
        <v>11</v>
      </c>
      <c r="D4" s="2" t="s">
        <v>12</v>
      </c>
      <c r="E4" s="2" t="s">
        <v>13</v>
      </c>
      <c r="F4" s="3">
        <v>46270</v>
      </c>
      <c r="G4" s="2">
        <v>90</v>
      </c>
      <c r="H4" s="3">
        <f t="shared" si="0"/>
        <v>46360</v>
      </c>
      <c r="I4" s="2">
        <f t="shared" si="1"/>
        <v>74</v>
      </c>
    </row>
    <row r="5" spans="1:9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13</v>
      </c>
      <c r="F5" s="3">
        <v>46254</v>
      </c>
      <c r="G5" s="2">
        <v>180</v>
      </c>
      <c r="H5" s="3">
        <f t="shared" si="0"/>
        <v>46434</v>
      </c>
      <c r="I5" s="2">
        <f t="shared" si="1"/>
        <v>148</v>
      </c>
    </row>
    <row r="6" spans="1:9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13</v>
      </c>
      <c r="F6" s="3">
        <v>46279</v>
      </c>
      <c r="G6" s="2">
        <v>7</v>
      </c>
      <c r="H6" s="3">
        <f t="shared" si="0"/>
        <v>46286</v>
      </c>
      <c r="I6" s="2">
        <f t="shared" si="1"/>
        <v>0</v>
      </c>
    </row>
    <row r="7" spans="1:9" x14ac:dyDescent="0.35">
      <c r="A7" s="2" t="s">
        <v>26</v>
      </c>
      <c r="B7" s="2" t="s">
        <v>27</v>
      </c>
      <c r="C7" s="2" t="s">
        <v>11</v>
      </c>
      <c r="D7" s="2" t="s">
        <v>21</v>
      </c>
      <c r="E7" s="2" t="s">
        <v>13</v>
      </c>
      <c r="F7" s="3">
        <v>46259</v>
      </c>
      <c r="G7" s="2">
        <v>30</v>
      </c>
      <c r="H7" s="3">
        <f t="shared" si="0"/>
        <v>46289</v>
      </c>
      <c r="I7" s="2">
        <f t="shared" si="1"/>
        <v>3</v>
      </c>
    </row>
    <row r="8" spans="1:9" x14ac:dyDescent="0.35">
      <c r="A8" s="2" t="s">
        <v>28</v>
      </c>
      <c r="B8" s="2" t="s">
        <v>29</v>
      </c>
      <c r="C8" s="2" t="s">
        <v>30</v>
      </c>
      <c r="D8" s="2" t="s">
        <v>31</v>
      </c>
      <c r="E8" s="2" t="s">
        <v>13</v>
      </c>
      <c r="F8" s="3">
        <v>46259</v>
      </c>
      <c r="G8" s="2">
        <v>90</v>
      </c>
      <c r="H8" s="3">
        <f t="shared" si="0"/>
        <v>46349</v>
      </c>
      <c r="I8" s="2">
        <f t="shared" si="1"/>
        <v>63</v>
      </c>
    </row>
    <row r="9" spans="1:9" x14ac:dyDescent="0.35">
      <c r="A9" s="2" t="s">
        <v>32</v>
      </c>
      <c r="B9" s="2" t="s">
        <v>33</v>
      </c>
      <c r="C9" s="2" t="s">
        <v>34</v>
      </c>
      <c r="D9" s="2" t="s">
        <v>35</v>
      </c>
      <c r="E9" s="2" t="s">
        <v>13</v>
      </c>
      <c r="F9" s="3">
        <v>46275</v>
      </c>
      <c r="G9" s="2">
        <v>30</v>
      </c>
      <c r="H9" s="3">
        <f t="shared" si="0"/>
        <v>46305</v>
      </c>
      <c r="I9" s="2">
        <f t="shared" si="1"/>
        <v>19</v>
      </c>
    </row>
    <row r="10" spans="1:9" x14ac:dyDescent="0.35">
      <c r="A10" s="2" t="s">
        <v>36</v>
      </c>
      <c r="B10" s="2" t="s">
        <v>37</v>
      </c>
      <c r="C10" s="2" t="s">
        <v>38</v>
      </c>
      <c r="D10" s="2" t="s">
        <v>21</v>
      </c>
      <c r="E10" s="2" t="s">
        <v>13</v>
      </c>
      <c r="F10" s="3">
        <v>46218</v>
      </c>
      <c r="G10" s="2">
        <v>180</v>
      </c>
      <c r="H10" s="3">
        <f t="shared" si="0"/>
        <v>46398</v>
      </c>
      <c r="I10" s="2">
        <f t="shared" si="1"/>
        <v>112</v>
      </c>
    </row>
    <row r="11" spans="1:9" x14ac:dyDescent="0.35">
      <c r="A11" s="2" t="s">
        <v>39</v>
      </c>
      <c r="B11" s="2" t="s">
        <v>40</v>
      </c>
      <c r="C11" s="2" t="s">
        <v>34</v>
      </c>
      <c r="D11" s="2" t="s">
        <v>21</v>
      </c>
      <c r="E11" s="2" t="s">
        <v>13</v>
      </c>
      <c r="F11" s="3">
        <v>46275</v>
      </c>
      <c r="G11" s="2">
        <v>30</v>
      </c>
      <c r="H11" s="3">
        <f t="shared" si="0"/>
        <v>46305</v>
      </c>
      <c r="I11" s="2">
        <f t="shared" si="1"/>
        <v>19</v>
      </c>
    </row>
    <row r="12" spans="1:9" x14ac:dyDescent="0.35">
      <c r="A12" s="2" t="s">
        <v>41</v>
      </c>
      <c r="B12" s="2" t="s">
        <v>42</v>
      </c>
      <c r="C12" s="2" t="s">
        <v>20</v>
      </c>
      <c r="D12" s="2" t="s">
        <v>21</v>
      </c>
      <c r="E12" s="2" t="s">
        <v>13</v>
      </c>
      <c r="F12" s="3">
        <v>46235</v>
      </c>
      <c r="G12" s="2">
        <v>180</v>
      </c>
      <c r="H12" s="3">
        <f t="shared" si="0"/>
        <v>46415</v>
      </c>
      <c r="I12" s="2">
        <f t="shared" si="1"/>
        <v>129</v>
      </c>
    </row>
    <row r="13" spans="1:9" x14ac:dyDescent="0.35">
      <c r="A13" s="4" t="s">
        <v>43</v>
      </c>
      <c r="B13" s="4" t="s">
        <v>44</v>
      </c>
      <c r="C13" s="4" t="s">
        <v>24</v>
      </c>
      <c r="D13" s="4" t="s">
        <v>45</v>
      </c>
      <c r="E13" s="4" t="s">
        <v>46</v>
      </c>
      <c r="F13" s="5">
        <v>46264</v>
      </c>
      <c r="G13" s="4">
        <v>30</v>
      </c>
      <c r="H13" s="5">
        <f t="shared" si="0"/>
        <v>46294</v>
      </c>
      <c r="I13" s="4">
        <f t="shared" si="1"/>
        <v>8</v>
      </c>
    </row>
    <row r="14" spans="1:9" x14ac:dyDescent="0.35">
      <c r="A14" s="6" t="s">
        <v>47</v>
      </c>
      <c r="B14" s="6" t="s">
        <v>48</v>
      </c>
      <c r="C14" s="6" t="s">
        <v>20</v>
      </c>
      <c r="D14" s="6" t="s">
        <v>21</v>
      </c>
      <c r="E14" s="6" t="s">
        <v>49</v>
      </c>
      <c r="F14" s="6" t="s">
        <v>50</v>
      </c>
      <c r="G14" s="6">
        <v>90</v>
      </c>
      <c r="H14" s="6" t="s">
        <v>50</v>
      </c>
      <c r="I14" s="6" t="s">
        <v>50</v>
      </c>
    </row>
    <row r="15" spans="1:9" x14ac:dyDescent="0.35">
      <c r="A15" s="2" t="s">
        <v>51</v>
      </c>
      <c r="B15" s="2" t="s">
        <v>52</v>
      </c>
      <c r="C15" s="2" t="s">
        <v>30</v>
      </c>
      <c r="D15" s="2" t="s">
        <v>53</v>
      </c>
      <c r="E15" s="2" t="s">
        <v>13</v>
      </c>
      <c r="F15" s="3">
        <v>46174</v>
      </c>
      <c r="G15" s="2">
        <v>365</v>
      </c>
      <c r="H15" s="3">
        <f>F15+G15</f>
        <v>46539</v>
      </c>
      <c r="I15" s="2">
        <f>H15-DATE(2026,9,21)</f>
        <v>253</v>
      </c>
    </row>
    <row r="16" spans="1:9" x14ac:dyDescent="0.35">
      <c r="A16" s="2" t="s">
        <v>54</v>
      </c>
      <c r="B16" s="2" t="s">
        <v>55</v>
      </c>
      <c r="C16" s="2" t="s">
        <v>24</v>
      </c>
      <c r="D16" s="2" t="s">
        <v>21</v>
      </c>
      <c r="E16" s="2" t="s">
        <v>13</v>
      </c>
      <c r="F16" s="3">
        <v>46127</v>
      </c>
      <c r="G16" s="2">
        <v>90</v>
      </c>
      <c r="H16" s="3">
        <f>F16+G16</f>
        <v>46217</v>
      </c>
      <c r="I16" s="2">
        <f>H16-DATE(2026,9,21)</f>
        <v>-69</v>
      </c>
    </row>
    <row r="18" spans="2:2" x14ac:dyDescent="0.35">
      <c r="B18" s="7" t="s">
        <v>56</v>
      </c>
    </row>
  </sheetData>
  <autoFilter ref="A1:I1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2026-09-21T16:21:41Z</dcterms:created>
  <dcterms:modified xsi:type="dcterms:W3CDTF">2026-09-21T16:51:05Z</dcterms:modified>
  <dc:language>en-US</dc:language>
</cp:coreProperties>
</file>